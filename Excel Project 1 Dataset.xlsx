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7500" activeTab="3"/>
  </bookViews>
  <sheets>
    <sheet name="bike_buyers" sheetId="1" r:id="rId1"/>
    <sheet name="bikebuyers" sheetId="2" r:id="rId2"/>
    <sheet name="Pivot 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62913"/>
  <pivotCaches>
    <pivotCache cacheId="2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<sst xmlns="http://schemas.openxmlformats.org/spreadsheetml/2006/main" count="16482" uniqueCount="51">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</sst>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0">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
      <numFmt numFmtId="166" formatCode="0.0000"/>
    </dxf>
    <dxf>
      <numFmt numFmtId="167" formatCode="0.000"/>
    </dxf>
    <dxf>
      <numFmt numFmtId="2" formatCode="0.00"/>
    </dxf>
    <dxf>
      <numFmt numFmtId="168"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8570603674540681"/>
          <c:y val="0.23087744240303296"/>
          <c:w val="0.58929396325459316"/>
          <c:h val="0.3452981918926800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extLst>
            <c:ext xmlns:c16="http://schemas.microsoft.com/office/drawing/2014/chart" uri="{C3380CC4-5D6E-409C-BE32-E72D297353CC}">
              <c16:uniqueId val="{00000000-4428-4635-A1A6-4ABFEAC418A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extLst>
            <c:ext xmlns:c16="http://schemas.microsoft.com/office/drawing/2014/chart" uri="{C3380CC4-5D6E-409C-BE32-E72D297353CC}">
              <c16:uniqueId val="{00000001-4428-4635-A1A6-4ABFEAC418A9}"/>
            </c:ext>
          </c:extLst>
        </c:ser>
        <c:dLbls>
          <c:dLblPos val="outEnd"/>
          <c:showLegendKey val="0"/>
          <c:showVal val="0"/>
          <c:showCatName val="0"/>
          <c:showSerName val="0"/>
          <c:showPercent val="0"/>
          <c:showBubbleSize val="0"/>
        </c:dLbls>
        <c:gapWidth val="219"/>
        <c:overlap val="-27"/>
        <c:axId val="1203922239"/>
        <c:axId val="1203924319"/>
      </c:barChart>
      <c:catAx>
        <c:axId val="1203922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924319"/>
        <c:crosses val="autoZero"/>
        <c:auto val="1"/>
        <c:lblAlgn val="ctr"/>
        <c:lblOffset val="100"/>
        <c:noMultiLvlLbl val="0"/>
      </c:catAx>
      <c:valAx>
        <c:axId val="1203924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922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Customer Comute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4C17-4ABF-B45F-BBC534A5B4F1}"/>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4C17-4ABF-B45F-BBC534A5B4F1}"/>
            </c:ext>
          </c:extLst>
        </c:ser>
        <c:dLbls>
          <c:showLegendKey val="0"/>
          <c:showVal val="0"/>
          <c:showCatName val="0"/>
          <c:showSerName val="0"/>
          <c:showPercent val="0"/>
          <c:showBubbleSize val="0"/>
        </c:dLbls>
        <c:smooth val="0"/>
        <c:axId val="1708517536"/>
        <c:axId val="1708515456"/>
      </c:lineChart>
      <c:catAx>
        <c:axId val="1708517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515456"/>
        <c:crosses val="autoZero"/>
        <c:auto val="1"/>
        <c:lblAlgn val="ctr"/>
        <c:lblOffset val="100"/>
        <c:noMultiLvlLbl val="0"/>
      </c:catAx>
      <c:valAx>
        <c:axId val="170851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517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a:t>
            </a:r>
            <a:r>
              <a:rPr lang="en-ZA" baseline="0"/>
              <a:t> Groups</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3532-4656-A4D2-81F65383FE51}"/>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3532-4656-A4D2-81F65383FE51}"/>
            </c:ext>
          </c:extLst>
        </c:ser>
        <c:dLbls>
          <c:showLegendKey val="0"/>
          <c:showVal val="0"/>
          <c:showCatName val="0"/>
          <c:showSerName val="0"/>
          <c:showPercent val="0"/>
          <c:showBubbleSize val="0"/>
        </c:dLbls>
        <c:marker val="1"/>
        <c:smooth val="0"/>
        <c:axId val="1897844112"/>
        <c:axId val="1908056528"/>
      </c:lineChart>
      <c:catAx>
        <c:axId val="189784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Group</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056528"/>
        <c:crosses val="autoZero"/>
        <c:auto val="1"/>
        <c:lblAlgn val="ctr"/>
        <c:lblOffset val="100"/>
        <c:noMultiLvlLbl val="0"/>
      </c:catAx>
      <c:valAx>
        <c:axId val="190805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844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Table'!$B$61:$B$114</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B5D-46BA-9736-C836F1CB051A}"/>
            </c:ext>
          </c:extLst>
        </c:ser>
        <c:ser>
          <c:idx val="1"/>
          <c:order val="1"/>
          <c:tx>
            <c:strRef>
              <c:f>'Pivot Table'!$C$59:$C$60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Table'!$C$61:$C$114</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B5D-46BA-9736-C836F1CB051A}"/>
            </c:ext>
          </c:extLst>
        </c:ser>
        <c:dLbls>
          <c:showLegendKey val="0"/>
          <c:showVal val="0"/>
          <c:showCatName val="0"/>
          <c:showSerName val="0"/>
          <c:showPercent val="0"/>
          <c:showBubbleSize val="0"/>
        </c:dLbls>
        <c:marker val="1"/>
        <c:smooth val="0"/>
        <c:axId val="49065568"/>
        <c:axId val="49071808"/>
      </c:lineChart>
      <c:catAx>
        <c:axId val="490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1808"/>
        <c:crosses val="autoZero"/>
        <c:auto val="1"/>
        <c:lblAlgn val="ctr"/>
        <c:lblOffset val="100"/>
        <c:noMultiLvlLbl val="0"/>
      </c:catAx>
      <c:valAx>
        <c:axId val="4907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5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manualLayout>
          <c:layoutTarget val="inner"/>
          <c:xMode val="edge"/>
          <c:yMode val="edge"/>
          <c:x val="0.18570603674540681"/>
          <c:y val="0.23087744240303296"/>
          <c:w val="0.58929396325459316"/>
          <c:h val="0.3452981918926800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extLst>
            <c:ext xmlns:c16="http://schemas.microsoft.com/office/drawing/2014/chart" uri="{C3380CC4-5D6E-409C-BE32-E72D297353CC}">
              <c16:uniqueId val="{00000000-2DB1-4C0F-905C-3BCE507E70E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extLst>
            <c:ext xmlns:c16="http://schemas.microsoft.com/office/drawing/2014/chart" uri="{C3380CC4-5D6E-409C-BE32-E72D297353CC}">
              <c16:uniqueId val="{00000001-2DB1-4C0F-905C-3BCE507E70EB}"/>
            </c:ext>
          </c:extLst>
        </c:ser>
        <c:dLbls>
          <c:showLegendKey val="0"/>
          <c:showVal val="0"/>
          <c:showCatName val="0"/>
          <c:showSerName val="0"/>
          <c:showPercent val="0"/>
          <c:showBubbleSize val="0"/>
        </c:dLbls>
        <c:gapWidth val="219"/>
        <c:overlap val="-27"/>
        <c:axId val="1203922239"/>
        <c:axId val="1203924319"/>
      </c:barChart>
      <c:catAx>
        <c:axId val="1203922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924319"/>
        <c:crosses val="autoZero"/>
        <c:auto val="1"/>
        <c:lblAlgn val="ctr"/>
        <c:lblOffset val="100"/>
        <c:noMultiLvlLbl val="0"/>
      </c:catAx>
      <c:valAx>
        <c:axId val="1203924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922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7320036386162094"/>
          <c:y val="0.46716521955871437"/>
          <c:w val="0.20978966342800057"/>
          <c:h val="0.204923531698933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Customer Comute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A8B0-42F8-ABFA-FC1CB42DF5CD}"/>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A8B0-42F8-ABFA-FC1CB42DF5CD}"/>
            </c:ext>
          </c:extLst>
        </c:ser>
        <c:dLbls>
          <c:showLegendKey val="0"/>
          <c:showVal val="0"/>
          <c:showCatName val="0"/>
          <c:showSerName val="0"/>
          <c:showPercent val="0"/>
          <c:showBubbleSize val="0"/>
        </c:dLbls>
        <c:smooth val="0"/>
        <c:axId val="1708517536"/>
        <c:axId val="1708515456"/>
      </c:lineChart>
      <c:catAx>
        <c:axId val="1708517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515456"/>
        <c:crosses val="autoZero"/>
        <c:auto val="1"/>
        <c:lblAlgn val="ctr"/>
        <c:lblOffset val="100"/>
        <c:noMultiLvlLbl val="0"/>
      </c:catAx>
      <c:valAx>
        <c:axId val="170851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517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a:t>
            </a:r>
            <a:r>
              <a:rPr lang="en-ZA" baseline="0"/>
              <a:t> Groups</a:t>
            </a:r>
            <a:endParaRPr lang="en-Z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1834-4E91-AC1A-5A57D945A9DD}"/>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1834-4E91-AC1A-5A57D945A9DD}"/>
            </c:ext>
          </c:extLst>
        </c:ser>
        <c:dLbls>
          <c:showLegendKey val="0"/>
          <c:showVal val="0"/>
          <c:showCatName val="0"/>
          <c:showSerName val="0"/>
          <c:showPercent val="0"/>
          <c:showBubbleSize val="0"/>
        </c:dLbls>
        <c:marker val="1"/>
        <c:smooth val="0"/>
        <c:axId val="1897844112"/>
        <c:axId val="1908056528"/>
      </c:lineChart>
      <c:catAx>
        <c:axId val="189784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Group</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056528"/>
        <c:crosses val="autoZero"/>
        <c:auto val="1"/>
        <c:lblAlgn val="ctr"/>
        <c:lblOffset val="100"/>
        <c:noMultiLvlLbl val="0"/>
      </c:catAx>
      <c:valAx>
        <c:axId val="190805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844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871537</xdr:colOff>
      <xdr:row>1</xdr:row>
      <xdr:rowOff>0</xdr:rowOff>
    </xdr:from>
    <xdr:to>
      <xdr:col>10</xdr:col>
      <xdr:colOff>185737</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xdr:colOff>
      <xdr:row>20</xdr:row>
      <xdr:rowOff>0</xdr:rowOff>
    </xdr:from>
    <xdr:to>
      <xdr:col>10</xdr:col>
      <xdr:colOff>195262</xdr:colOff>
      <xdr:row>34</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xdr:colOff>
      <xdr:row>38</xdr:row>
      <xdr:rowOff>180975</xdr:rowOff>
    </xdr:from>
    <xdr:to>
      <xdr:col>10</xdr:col>
      <xdr:colOff>195262</xdr:colOff>
      <xdr:row>53</xdr:row>
      <xdr:rowOff>66675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862012</xdr:colOff>
      <xdr:row>58</xdr:row>
      <xdr:rowOff>0</xdr:rowOff>
    </xdr:from>
    <xdr:to>
      <xdr:col>10</xdr:col>
      <xdr:colOff>176212</xdr:colOff>
      <xdr:row>72</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133945</xdr:colOff>
      <xdr:row>6</xdr:row>
      <xdr:rowOff>9111</xdr:rowOff>
    </xdr:from>
    <xdr:to>
      <xdr:col>11</xdr:col>
      <xdr:colOff>29766</xdr:colOff>
      <xdr:row>22</xdr:row>
      <xdr:rowOff>44649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119062</xdr:colOff>
      <xdr:row>22</xdr:row>
      <xdr:rowOff>38545</xdr:rowOff>
    </xdr:from>
    <xdr:to>
      <xdr:col>16</xdr:col>
      <xdr:colOff>595313</xdr:colOff>
      <xdr:row>39</xdr:row>
      <xdr:rowOff>29765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44649</xdr:colOff>
      <xdr:row>6</xdr:row>
      <xdr:rowOff>0</xdr:rowOff>
    </xdr:from>
    <xdr:to>
      <xdr:col>16</xdr:col>
      <xdr:colOff>610194</xdr:colOff>
      <xdr:row>22</xdr:row>
      <xdr:rowOff>29766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27384</xdr:rowOff>
    </xdr:from>
    <xdr:to>
      <xdr:col>3</xdr:col>
      <xdr:colOff>133945</xdr:colOff>
      <xdr:row>11</xdr:row>
      <xdr:rowOff>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70384"/>
              <a:ext cx="1970909" cy="92511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92529</xdr:rowOff>
    </xdr:from>
    <xdr:to>
      <xdr:col>3</xdr:col>
      <xdr:colOff>122464</xdr:colOff>
      <xdr:row>27</xdr:row>
      <xdr:rowOff>0</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31029"/>
              <a:ext cx="1959428" cy="181247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187779</xdr:rowOff>
    </xdr:from>
    <xdr:to>
      <xdr:col>3</xdr:col>
      <xdr:colOff>95250</xdr:colOff>
      <xdr:row>17</xdr:row>
      <xdr:rowOff>95250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92779"/>
              <a:ext cx="1932214" cy="124097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81.183023726851" createdVersion="6" refreshedVersion="6" minRefreshableVersion="3" recordCount="1026">
  <cacheSource type="worksheet">
    <worksheetSource ref="A1:N1027" sheet="bike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9:D11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5">
    <format dxfId="175">
      <pivotArea outline="0" collapsedLevelsAreSubtotals="1" fieldPosition="0"/>
    </format>
    <format dxfId="176">
      <pivotArea outline="0" collapsedLevelsAreSubtotals="1" fieldPosition="0"/>
    </format>
    <format dxfId="177">
      <pivotArea outline="0" collapsedLevelsAreSubtotals="1" fieldPosition="0"/>
    </format>
    <format dxfId="178">
      <pivotArea outline="0" collapsedLevelsAreSubtotals="1" fieldPosition="0"/>
    </format>
    <format dxfId="179">
      <pivotArea outline="0" collapsedLevelsAreSubtotals="1" fieldPosition="0"/>
    </format>
  </formats>
  <chartFormats count="4">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A2" sqref="A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opLeftCell="C1" zoomScale="83" workbookViewId="0">
      <selection activeCell="L9" sqref="L9"/>
    </sheetView>
  </sheetViews>
  <sheetFormatPr defaultColWidth="15.7109375" defaultRowHeight="15" x14ac:dyDescent="0.25"/>
  <cols>
    <col min="2" max="2" width="25.42578125" bestFit="1" customWidth="1"/>
    <col min="6" max="6" width="22.42578125" customWidth="1"/>
    <col min="7" max="7" width="19.85546875" customWidth="1"/>
    <col min="13" max="13" width="17.28515625" bestFit="1"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 "Old 55+",  IF(L2&gt;=31, "Middle Age 31-54", IF(L2&lt;31,"Adolescent 0-30","Invalid" )))</f>
        <v>Middle Age 31-54</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 "Old 55+",  IF(L3&gt;=31, "Middle Age 31-54", IF(L3&lt;31,"Adolescent 0-30","Invalid" )))</f>
        <v>Middle Age 31-54</v>
      </c>
      <c r="N3" t="s">
        <v>18</v>
      </c>
    </row>
    <row r="4" spans="1:14" x14ac:dyDescent="0.25">
      <c r="A4">
        <v>14177</v>
      </c>
      <c r="B4" t="s">
        <v>36</v>
      </c>
      <c r="C4" t="s">
        <v>38</v>
      </c>
      <c r="D4" s="3">
        <v>80000</v>
      </c>
      <c r="E4">
        <v>5</v>
      </c>
      <c r="F4" t="s">
        <v>19</v>
      </c>
      <c r="G4" t="s">
        <v>21</v>
      </c>
      <c r="H4" t="s">
        <v>18</v>
      </c>
      <c r="I4">
        <v>2</v>
      </c>
      <c r="J4" t="s">
        <v>22</v>
      </c>
      <c r="K4" t="s">
        <v>17</v>
      </c>
      <c r="L4">
        <v>60</v>
      </c>
      <c r="M4" t="str">
        <f t="shared" si="0"/>
        <v>Old 55+</v>
      </c>
      <c r="N4" t="s">
        <v>18</v>
      </c>
    </row>
    <row r="5" spans="1:14" x14ac:dyDescent="0.25">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25">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2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25">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25">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 31-54</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 31-54</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 31-54</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 31-54</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 31-54</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 "Old 55+",  IF(L67&gt;=31, "Middle Age 31-54", IF(L67&lt;31,"Adolescent 0-30","Invalid" )))</f>
        <v>Old 55+</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 31-54</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 0-30</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 55+</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 31-54</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 "Old 55+",  IF(L131&gt;=31, "Middle Age 31-54", IF(L131&lt;31,"Adolescent 0-30","Invalid" )))</f>
        <v>Middle Age 31-54</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 31-54</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 31-54</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 55+</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 55+</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 31-54</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 55+</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 "Old 55+",  IF(L195&gt;=31, "Middle Age 31-54", IF(L195&lt;31,"Adolescent 0-30","Invalid" )))</f>
        <v>Middle Age 31-54</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 31-54</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 55+</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 31-54</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 31-54</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 55+</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 55+</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 31-54</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 31-54</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 31-54</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 55+</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 "Old 55+",  IF(L259&gt;=31, "Middle Age 31-54", IF(L259&lt;31,"Adolescent 0-30","Invalid" )))</f>
        <v>Middle Age 31-54</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 55+</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 31-54</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 31-54</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 31-54</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 31-54</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 "Old 55+",  IF(L323&gt;=31, "Middle Age 31-54", IF(L323&lt;31,"Adolescent 0-30","Invalid" )))</f>
        <v>Middle Age 31-54</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 31-54</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 31-54</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 0-30</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 31-54</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 0-30</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 31-54</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 "Old 55+",  IF(L387&gt;=31, "Middle Age 31-54", IF(L387&lt;31,"Adolescent 0-30","Invalid" )))</f>
        <v>Middle Age 31-54</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 31-54</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 31-54</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 31-54</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 31-54</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 31-54</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 31-54</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 "Old 55+",  IF(L451&gt;=31, "Middle Age 31-54", IF(L451&lt;31,"Adolescent 0-30","Invalid" )))</f>
        <v>Middle Age 31-54</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 31-54</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 31-54</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 55+</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 55+</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 "Old 55+",  IF(L515&gt;=31, "Middle Age 31-54", IF(L515&lt;31,"Adolescent 0-30","Invalid" )))</f>
        <v>Old 55+</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 55+</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 55+</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 55+</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 55+</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 55+</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 31-54</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 31-54</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 55+</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 55+</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 55+</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 "Old 55+",  IF(L579&gt;=31, "Middle Age 31-54", IF(L579&lt;31,"Adolescent 0-30","Invalid" )))</f>
        <v>Middle Age 31-54</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 55+</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 31-54</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 55+</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 55+</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 31-54</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 "Old 55+",  IF(L643&gt;=31, "Middle Age 31-54", IF(L643&lt;31,"Adolescent 0-30","Invalid" )))</f>
        <v>Old 55+</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 31-54</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 55+</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 55+</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 55+</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 55+</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 "Old 55+",  IF(L707&gt;=31, "Middle Age 31-54", IF(L707&lt;31,"Adolescent 0-30","Invalid" )))</f>
        <v>Old 55+</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 55+</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 55+</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 55+</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 31-54</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 "Old 55+",  IF(L771&gt;=31, "Middle Age 31-54", IF(L771&lt;31,"Adolescent 0-30","Invalid" )))</f>
        <v>Middle Age 31-54</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 31-54</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 55+</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 55+</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 31-54</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 "Old 55+",  IF(L835&gt;=31, "Middle Age 31-54", IF(L835&lt;31,"Adolescent 0-30","Invalid" )))</f>
        <v>Middle Age 31-54</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 31-54</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 55+</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 55+</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 55+</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 "Old 55+",  IF(L899&gt;=31, "Middle Age 31-54", IF(L899&lt;31,"Adolescent 0-30","Invalid" )))</f>
        <v>Adolescent 0-30</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 55+</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 31-54</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 55+</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 55+</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 55+</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 31-54</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 31-54</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26" si="15">IF(L963&gt;54, "Old 55+",  IF(L963&gt;=31, "Middle Age 31-54", IF(L963&lt;31,"Adolescent 0-30","Invalid" )))</f>
        <v>Old 55+</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 55+</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 55+</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 31-54</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 55+</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 55+</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 55+</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 31-54</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 31-54</v>
      </c>
      <c r="N1001" t="s">
        <v>15</v>
      </c>
    </row>
    <row r="1002" spans="1:14" x14ac:dyDescent="0.25">
      <c r="A1002">
        <v>13507</v>
      </c>
      <c r="B1002" t="s">
        <v>36</v>
      </c>
      <c r="C1002" t="s">
        <v>39</v>
      </c>
      <c r="D1002" s="3">
        <v>10000</v>
      </c>
      <c r="E1002">
        <v>2</v>
      </c>
      <c r="F1002" t="s">
        <v>19</v>
      </c>
      <c r="G1002" t="s">
        <v>25</v>
      </c>
      <c r="H1002" t="s">
        <v>15</v>
      </c>
      <c r="I1002">
        <v>0</v>
      </c>
      <c r="J1002" t="s">
        <v>26</v>
      </c>
      <c r="K1002" t="s">
        <v>17</v>
      </c>
      <c r="L1002">
        <v>50</v>
      </c>
      <c r="M1002" t="str">
        <f t="shared" si="15"/>
        <v>Middle Age 31-54</v>
      </c>
      <c r="N1002" t="s">
        <v>18</v>
      </c>
    </row>
    <row r="1003" spans="1:14" x14ac:dyDescent="0.25">
      <c r="A1003">
        <v>19280</v>
      </c>
      <c r="B1003" t="s">
        <v>36</v>
      </c>
      <c r="C1003" t="s">
        <v>38</v>
      </c>
      <c r="D1003" s="3">
        <v>120000</v>
      </c>
      <c r="E1003">
        <v>2</v>
      </c>
      <c r="F1003" t="s">
        <v>19</v>
      </c>
      <c r="G1003" t="s">
        <v>25</v>
      </c>
      <c r="H1003" t="s">
        <v>15</v>
      </c>
      <c r="I1003">
        <v>1</v>
      </c>
      <c r="J1003" t="s">
        <v>16</v>
      </c>
      <c r="K1003" t="s">
        <v>17</v>
      </c>
      <c r="L1003">
        <v>40</v>
      </c>
      <c r="M1003" t="str">
        <f t="shared" si="15"/>
        <v>Middle Age 31-54</v>
      </c>
      <c r="N1003" t="s">
        <v>15</v>
      </c>
    </row>
    <row r="1004" spans="1:14" x14ac:dyDescent="0.25">
      <c r="A1004">
        <v>22173</v>
      </c>
      <c r="B1004" t="s">
        <v>36</v>
      </c>
      <c r="C1004" t="s">
        <v>39</v>
      </c>
      <c r="D1004" s="3">
        <v>30000</v>
      </c>
      <c r="E1004">
        <v>3</v>
      </c>
      <c r="F1004" t="s">
        <v>27</v>
      </c>
      <c r="G1004" t="s">
        <v>14</v>
      </c>
      <c r="H1004" t="s">
        <v>18</v>
      </c>
      <c r="I1004">
        <v>2</v>
      </c>
      <c r="J1004" t="s">
        <v>26</v>
      </c>
      <c r="K1004" t="s">
        <v>24</v>
      </c>
      <c r="L1004">
        <v>54</v>
      </c>
      <c r="M1004" t="str">
        <f t="shared" si="15"/>
        <v>Middle Age 31-54</v>
      </c>
      <c r="N1004" t="s">
        <v>15</v>
      </c>
    </row>
    <row r="1005" spans="1:14" x14ac:dyDescent="0.25">
      <c r="A1005">
        <v>12697</v>
      </c>
      <c r="B1005" t="s">
        <v>37</v>
      </c>
      <c r="C1005" t="s">
        <v>39</v>
      </c>
      <c r="D1005" s="3">
        <v>90000</v>
      </c>
      <c r="E1005">
        <v>0</v>
      </c>
      <c r="F1005" t="s">
        <v>13</v>
      </c>
      <c r="G1005" t="s">
        <v>21</v>
      </c>
      <c r="H1005" t="s">
        <v>18</v>
      </c>
      <c r="I1005">
        <v>4</v>
      </c>
      <c r="J1005" t="s">
        <v>46</v>
      </c>
      <c r="K1005" t="s">
        <v>24</v>
      </c>
      <c r="L1005">
        <v>36</v>
      </c>
      <c r="M1005" t="str">
        <f t="shared" si="15"/>
        <v>Middle Age 31-54</v>
      </c>
      <c r="N1005" t="s">
        <v>18</v>
      </c>
    </row>
    <row r="1006" spans="1:14" x14ac:dyDescent="0.25">
      <c r="A1006">
        <v>11434</v>
      </c>
      <c r="B1006" t="s">
        <v>36</v>
      </c>
      <c r="C1006" t="s">
        <v>38</v>
      </c>
      <c r="D1006" s="3">
        <v>170000</v>
      </c>
      <c r="E1006">
        <v>5</v>
      </c>
      <c r="F1006" t="s">
        <v>19</v>
      </c>
      <c r="G1006" t="s">
        <v>21</v>
      </c>
      <c r="H1006" t="s">
        <v>15</v>
      </c>
      <c r="I1006">
        <v>0</v>
      </c>
      <c r="J1006" t="s">
        <v>16</v>
      </c>
      <c r="K1006" t="s">
        <v>17</v>
      </c>
      <c r="L1006">
        <v>55</v>
      </c>
      <c r="M1006" t="str">
        <f t="shared" si="15"/>
        <v>Old 55+</v>
      </c>
      <c r="N1006" t="s">
        <v>18</v>
      </c>
    </row>
    <row r="1007" spans="1:14" x14ac:dyDescent="0.25">
      <c r="A1007">
        <v>25323</v>
      </c>
      <c r="B1007" t="s">
        <v>36</v>
      </c>
      <c r="C1007" t="s">
        <v>38</v>
      </c>
      <c r="D1007" s="3">
        <v>40000</v>
      </c>
      <c r="E1007">
        <v>2</v>
      </c>
      <c r="F1007" t="s">
        <v>19</v>
      </c>
      <c r="G1007" t="s">
        <v>20</v>
      </c>
      <c r="H1007" t="s">
        <v>15</v>
      </c>
      <c r="I1007">
        <v>1</v>
      </c>
      <c r="J1007" t="s">
        <v>26</v>
      </c>
      <c r="K1007" t="s">
        <v>17</v>
      </c>
      <c r="L1007">
        <v>35</v>
      </c>
      <c r="M1007" t="str">
        <f t="shared" si="15"/>
        <v>Middle Age 31-54</v>
      </c>
      <c r="N1007" t="s">
        <v>15</v>
      </c>
    </row>
    <row r="1008" spans="1:14" x14ac:dyDescent="0.25">
      <c r="A1008">
        <v>23542</v>
      </c>
      <c r="B1008" t="s">
        <v>37</v>
      </c>
      <c r="C1008" t="s">
        <v>38</v>
      </c>
      <c r="D1008" s="3">
        <v>60000</v>
      </c>
      <c r="E1008">
        <v>1</v>
      </c>
      <c r="F1008" t="s">
        <v>19</v>
      </c>
      <c r="G1008" t="s">
        <v>14</v>
      </c>
      <c r="H1008" t="s">
        <v>18</v>
      </c>
      <c r="I1008">
        <v>1</v>
      </c>
      <c r="J1008" t="s">
        <v>16</v>
      </c>
      <c r="K1008" t="s">
        <v>24</v>
      </c>
      <c r="L1008">
        <v>45</v>
      </c>
      <c r="M1008" t="str">
        <f t="shared" si="15"/>
        <v>Middle Age 31-54</v>
      </c>
      <c r="N1008" t="s">
        <v>15</v>
      </c>
    </row>
    <row r="1009" spans="1:14" x14ac:dyDescent="0.25">
      <c r="A1009">
        <v>20870</v>
      </c>
      <c r="B1009" t="s">
        <v>37</v>
      </c>
      <c r="C1009" t="s">
        <v>39</v>
      </c>
      <c r="D1009" s="3">
        <v>10000</v>
      </c>
      <c r="E1009">
        <v>2</v>
      </c>
      <c r="F1009" t="s">
        <v>27</v>
      </c>
      <c r="G1009" t="s">
        <v>25</v>
      </c>
      <c r="H1009" t="s">
        <v>15</v>
      </c>
      <c r="I1009">
        <v>1</v>
      </c>
      <c r="J1009" t="s">
        <v>16</v>
      </c>
      <c r="K1009" t="s">
        <v>17</v>
      </c>
      <c r="L1009">
        <v>38</v>
      </c>
      <c r="M1009" t="str">
        <f t="shared" si="15"/>
        <v>Middle Age 31-54</v>
      </c>
      <c r="N1009" t="s">
        <v>15</v>
      </c>
    </row>
    <row r="1010" spans="1:14" x14ac:dyDescent="0.25">
      <c r="A1010">
        <v>23316</v>
      </c>
      <c r="B1010" t="s">
        <v>37</v>
      </c>
      <c r="C1010" t="s">
        <v>38</v>
      </c>
      <c r="D1010" s="3">
        <v>30000</v>
      </c>
      <c r="E1010">
        <v>3</v>
      </c>
      <c r="F1010" t="s">
        <v>19</v>
      </c>
      <c r="G1010" t="s">
        <v>20</v>
      </c>
      <c r="H1010" t="s">
        <v>18</v>
      </c>
      <c r="I1010">
        <v>2</v>
      </c>
      <c r="J1010" t="s">
        <v>26</v>
      </c>
      <c r="K1010" t="s">
        <v>24</v>
      </c>
      <c r="L1010">
        <v>59</v>
      </c>
      <c r="M1010" t="str">
        <f t="shared" si="15"/>
        <v>Old 55+</v>
      </c>
      <c r="N1010" t="s">
        <v>15</v>
      </c>
    </row>
    <row r="1011" spans="1:14" x14ac:dyDescent="0.25">
      <c r="A1011">
        <v>12610</v>
      </c>
      <c r="B1011" t="s">
        <v>36</v>
      </c>
      <c r="C1011" t="s">
        <v>39</v>
      </c>
      <c r="D1011" s="3">
        <v>30000</v>
      </c>
      <c r="E1011">
        <v>1</v>
      </c>
      <c r="F1011" t="s">
        <v>13</v>
      </c>
      <c r="G1011" t="s">
        <v>20</v>
      </c>
      <c r="H1011" t="s">
        <v>15</v>
      </c>
      <c r="I1011">
        <v>0</v>
      </c>
      <c r="J1011" t="s">
        <v>16</v>
      </c>
      <c r="K1011" t="s">
        <v>17</v>
      </c>
      <c r="L1011">
        <v>47</v>
      </c>
      <c r="M1011" t="str">
        <f t="shared" si="15"/>
        <v>Middle Age 31-54</v>
      </c>
      <c r="N1011" t="s">
        <v>18</v>
      </c>
    </row>
    <row r="1012" spans="1:14" x14ac:dyDescent="0.25">
      <c r="A1012">
        <v>27183</v>
      </c>
      <c r="B1012" t="s">
        <v>37</v>
      </c>
      <c r="C1012" t="s">
        <v>38</v>
      </c>
      <c r="D1012" s="3">
        <v>40000</v>
      </c>
      <c r="E1012">
        <v>2</v>
      </c>
      <c r="F1012" t="s">
        <v>19</v>
      </c>
      <c r="G1012" t="s">
        <v>20</v>
      </c>
      <c r="H1012" t="s">
        <v>15</v>
      </c>
      <c r="I1012">
        <v>1</v>
      </c>
      <c r="J1012" t="s">
        <v>26</v>
      </c>
      <c r="K1012" t="s">
        <v>17</v>
      </c>
      <c r="L1012">
        <v>35</v>
      </c>
      <c r="M1012" t="str">
        <f t="shared" si="15"/>
        <v>Middle Age 31-54</v>
      </c>
      <c r="N1012" t="s">
        <v>15</v>
      </c>
    </row>
    <row r="1013" spans="1:14" x14ac:dyDescent="0.25">
      <c r="A1013">
        <v>25940</v>
      </c>
      <c r="B1013" t="s">
        <v>37</v>
      </c>
      <c r="C1013" t="s">
        <v>38</v>
      </c>
      <c r="D1013" s="3">
        <v>20000</v>
      </c>
      <c r="E1013">
        <v>2</v>
      </c>
      <c r="F1013" t="s">
        <v>29</v>
      </c>
      <c r="G1013" t="s">
        <v>20</v>
      </c>
      <c r="H1013" t="s">
        <v>15</v>
      </c>
      <c r="I1013">
        <v>2</v>
      </c>
      <c r="J1013" t="s">
        <v>23</v>
      </c>
      <c r="K1013" t="s">
        <v>24</v>
      </c>
      <c r="L1013">
        <v>55</v>
      </c>
      <c r="M1013" t="str">
        <f t="shared" si="15"/>
        <v>Old 55+</v>
      </c>
      <c r="N1013" t="s">
        <v>15</v>
      </c>
    </row>
    <row r="1014" spans="1:14" x14ac:dyDescent="0.25">
      <c r="A1014">
        <v>25598</v>
      </c>
      <c r="B1014" t="s">
        <v>36</v>
      </c>
      <c r="C1014" t="s">
        <v>39</v>
      </c>
      <c r="D1014" s="3">
        <v>40000</v>
      </c>
      <c r="E1014">
        <v>0</v>
      </c>
      <c r="F1014" t="s">
        <v>31</v>
      </c>
      <c r="G1014" t="s">
        <v>20</v>
      </c>
      <c r="H1014" t="s">
        <v>15</v>
      </c>
      <c r="I1014">
        <v>0</v>
      </c>
      <c r="J1014" t="s">
        <v>16</v>
      </c>
      <c r="K1014" t="s">
        <v>17</v>
      </c>
      <c r="L1014">
        <v>36</v>
      </c>
      <c r="M1014" t="str">
        <f t="shared" si="15"/>
        <v>Middle Age 31-54</v>
      </c>
      <c r="N1014" t="s">
        <v>15</v>
      </c>
    </row>
    <row r="1015" spans="1:14" x14ac:dyDescent="0.25">
      <c r="A1015">
        <v>21564</v>
      </c>
      <c r="B1015" t="s">
        <v>37</v>
      </c>
      <c r="C1015" t="s">
        <v>39</v>
      </c>
      <c r="D1015" s="3">
        <v>80000</v>
      </c>
      <c r="E1015">
        <v>0</v>
      </c>
      <c r="F1015" t="s">
        <v>13</v>
      </c>
      <c r="G1015" t="s">
        <v>21</v>
      </c>
      <c r="H1015" t="s">
        <v>15</v>
      </c>
      <c r="I1015">
        <v>4</v>
      </c>
      <c r="J1015" t="s">
        <v>46</v>
      </c>
      <c r="K1015" t="s">
        <v>24</v>
      </c>
      <c r="L1015">
        <v>35</v>
      </c>
      <c r="M1015" t="str">
        <f t="shared" si="15"/>
        <v>Middle Age 31-54</v>
      </c>
      <c r="N1015" t="s">
        <v>18</v>
      </c>
    </row>
    <row r="1016" spans="1:14" x14ac:dyDescent="0.25">
      <c r="A1016">
        <v>19193</v>
      </c>
      <c r="B1016" t="s">
        <v>37</v>
      </c>
      <c r="C1016" t="s">
        <v>38</v>
      </c>
      <c r="D1016" s="3">
        <v>40000</v>
      </c>
      <c r="E1016">
        <v>2</v>
      </c>
      <c r="F1016" t="s">
        <v>19</v>
      </c>
      <c r="G1016" t="s">
        <v>20</v>
      </c>
      <c r="H1016" t="s">
        <v>15</v>
      </c>
      <c r="I1016">
        <v>0</v>
      </c>
      <c r="J1016" t="s">
        <v>26</v>
      </c>
      <c r="K1016" t="s">
        <v>17</v>
      </c>
      <c r="L1016">
        <v>35</v>
      </c>
      <c r="M1016" t="str">
        <f t="shared" si="15"/>
        <v>Middle Age 31-54</v>
      </c>
      <c r="N1016" t="s">
        <v>15</v>
      </c>
    </row>
    <row r="1017" spans="1:14" x14ac:dyDescent="0.25">
      <c r="A1017">
        <v>26412</v>
      </c>
      <c r="B1017" t="s">
        <v>36</v>
      </c>
      <c r="C1017" t="s">
        <v>39</v>
      </c>
      <c r="D1017" s="3">
        <v>80000</v>
      </c>
      <c r="E1017">
        <v>5</v>
      </c>
      <c r="F1017" t="s">
        <v>27</v>
      </c>
      <c r="G1017" t="s">
        <v>28</v>
      </c>
      <c r="H1017" t="s">
        <v>18</v>
      </c>
      <c r="I1017">
        <v>3</v>
      </c>
      <c r="J1017" t="s">
        <v>23</v>
      </c>
      <c r="K1017" t="s">
        <v>17</v>
      </c>
      <c r="L1017">
        <v>56</v>
      </c>
      <c r="M1017" t="str">
        <f t="shared" si="15"/>
        <v>Old 55+</v>
      </c>
      <c r="N1017" t="s">
        <v>18</v>
      </c>
    </row>
    <row r="1018" spans="1:14" x14ac:dyDescent="0.25">
      <c r="A1018">
        <v>27184</v>
      </c>
      <c r="B1018" t="s">
        <v>37</v>
      </c>
      <c r="C1018" t="s">
        <v>38</v>
      </c>
      <c r="D1018" s="3">
        <v>40000</v>
      </c>
      <c r="E1018">
        <v>2</v>
      </c>
      <c r="F1018" t="s">
        <v>19</v>
      </c>
      <c r="G1018" t="s">
        <v>20</v>
      </c>
      <c r="H1018" t="s">
        <v>18</v>
      </c>
      <c r="I1018">
        <v>1</v>
      </c>
      <c r="J1018" t="s">
        <v>16</v>
      </c>
      <c r="K1018" t="s">
        <v>17</v>
      </c>
      <c r="L1018">
        <v>34</v>
      </c>
      <c r="M1018" t="str">
        <f t="shared" si="15"/>
        <v>Middle Age 31-54</v>
      </c>
      <c r="N1018" t="s">
        <v>18</v>
      </c>
    </row>
    <row r="1019" spans="1:14" x14ac:dyDescent="0.25">
      <c r="A1019">
        <v>12590</v>
      </c>
      <c r="B1019" t="s">
        <v>37</v>
      </c>
      <c r="C1019" t="s">
        <v>38</v>
      </c>
      <c r="D1019" s="3">
        <v>30000</v>
      </c>
      <c r="E1019">
        <v>1</v>
      </c>
      <c r="F1019" t="s">
        <v>13</v>
      </c>
      <c r="G1019" t="s">
        <v>20</v>
      </c>
      <c r="H1019" t="s">
        <v>15</v>
      </c>
      <c r="I1019">
        <v>0</v>
      </c>
      <c r="J1019" t="s">
        <v>16</v>
      </c>
      <c r="K1019" t="s">
        <v>17</v>
      </c>
      <c r="L1019">
        <v>63</v>
      </c>
      <c r="M1019" t="str">
        <f t="shared" si="15"/>
        <v>Old 55+</v>
      </c>
      <c r="N1019" t="s">
        <v>18</v>
      </c>
    </row>
    <row r="1020" spans="1:14" x14ac:dyDescent="0.25">
      <c r="A1020">
        <v>17841</v>
      </c>
      <c r="B1020" t="s">
        <v>37</v>
      </c>
      <c r="C1020" t="s">
        <v>38</v>
      </c>
      <c r="D1020" s="3">
        <v>30000</v>
      </c>
      <c r="E1020">
        <v>0</v>
      </c>
      <c r="F1020" t="s">
        <v>19</v>
      </c>
      <c r="G1020" t="s">
        <v>20</v>
      </c>
      <c r="H1020" t="s">
        <v>18</v>
      </c>
      <c r="I1020">
        <v>1</v>
      </c>
      <c r="J1020" t="s">
        <v>16</v>
      </c>
      <c r="K1020" t="s">
        <v>17</v>
      </c>
      <c r="L1020">
        <v>29</v>
      </c>
      <c r="M1020" t="str">
        <f t="shared" si="15"/>
        <v>Adolescent 0-30</v>
      </c>
      <c r="N1020" t="s">
        <v>15</v>
      </c>
    </row>
    <row r="1021" spans="1:14" x14ac:dyDescent="0.25">
      <c r="A1021">
        <v>18283</v>
      </c>
      <c r="B1021" t="s">
        <v>37</v>
      </c>
      <c r="C1021" t="s">
        <v>39</v>
      </c>
      <c r="D1021" s="3">
        <v>100000</v>
      </c>
      <c r="E1021">
        <v>0</v>
      </c>
      <c r="F1021" t="s">
        <v>13</v>
      </c>
      <c r="G1021" t="s">
        <v>21</v>
      </c>
      <c r="H1021" t="s">
        <v>18</v>
      </c>
      <c r="I1021">
        <v>1</v>
      </c>
      <c r="J1021" t="s">
        <v>23</v>
      </c>
      <c r="K1021" t="s">
        <v>24</v>
      </c>
      <c r="L1021">
        <v>40</v>
      </c>
      <c r="M1021" t="str">
        <f t="shared" si="15"/>
        <v>Middle Age 31-54</v>
      </c>
      <c r="N1021" t="s">
        <v>18</v>
      </c>
    </row>
    <row r="1022" spans="1:14" x14ac:dyDescent="0.25">
      <c r="A1022">
        <v>18299</v>
      </c>
      <c r="B1022" t="s">
        <v>36</v>
      </c>
      <c r="C1022" t="s">
        <v>38</v>
      </c>
      <c r="D1022" s="3">
        <v>70000</v>
      </c>
      <c r="E1022">
        <v>5</v>
      </c>
      <c r="F1022" t="s">
        <v>19</v>
      </c>
      <c r="G1022" t="s">
        <v>14</v>
      </c>
      <c r="H1022" t="s">
        <v>15</v>
      </c>
      <c r="I1022">
        <v>2</v>
      </c>
      <c r="J1022" t="s">
        <v>23</v>
      </c>
      <c r="K1022" t="s">
        <v>24</v>
      </c>
      <c r="L1022">
        <v>44</v>
      </c>
      <c r="M1022" t="str">
        <f t="shared" si="15"/>
        <v>Middle Age 31-54</v>
      </c>
      <c r="N1022" t="s">
        <v>18</v>
      </c>
    </row>
    <row r="1023" spans="1:14" x14ac:dyDescent="0.25">
      <c r="A1023">
        <v>16466</v>
      </c>
      <c r="B1023" t="s">
        <v>37</v>
      </c>
      <c r="C1023" t="s">
        <v>39</v>
      </c>
      <c r="D1023" s="3">
        <v>20000</v>
      </c>
      <c r="E1023">
        <v>0</v>
      </c>
      <c r="F1023" t="s">
        <v>29</v>
      </c>
      <c r="G1023" t="s">
        <v>25</v>
      </c>
      <c r="H1023" t="s">
        <v>18</v>
      </c>
      <c r="I1023">
        <v>2</v>
      </c>
      <c r="J1023" t="s">
        <v>16</v>
      </c>
      <c r="K1023" t="s">
        <v>17</v>
      </c>
      <c r="L1023">
        <v>32</v>
      </c>
      <c r="M1023" t="str">
        <f t="shared" si="15"/>
        <v>Middle Age 31-54</v>
      </c>
      <c r="N1023" t="s">
        <v>15</v>
      </c>
    </row>
    <row r="1024" spans="1:14" x14ac:dyDescent="0.25">
      <c r="A1024">
        <v>19273</v>
      </c>
      <c r="B1024" t="s">
        <v>36</v>
      </c>
      <c r="C1024" t="s">
        <v>39</v>
      </c>
      <c r="D1024" s="3">
        <v>20000</v>
      </c>
      <c r="E1024">
        <v>2</v>
      </c>
      <c r="F1024" t="s">
        <v>19</v>
      </c>
      <c r="G1024" t="s">
        <v>25</v>
      </c>
      <c r="H1024" t="s">
        <v>15</v>
      </c>
      <c r="I1024">
        <v>0</v>
      </c>
      <c r="J1024" t="s">
        <v>16</v>
      </c>
      <c r="K1024" t="s">
        <v>17</v>
      </c>
      <c r="L1024">
        <v>63</v>
      </c>
      <c r="M1024" t="str">
        <f t="shared" si="15"/>
        <v>Old 55+</v>
      </c>
      <c r="N1024" t="s">
        <v>18</v>
      </c>
    </row>
    <row r="1025" spans="1:14" x14ac:dyDescent="0.25">
      <c r="A1025">
        <v>22400</v>
      </c>
      <c r="B1025" t="s">
        <v>36</v>
      </c>
      <c r="C1025" t="s">
        <v>38</v>
      </c>
      <c r="D1025" s="3">
        <v>10000</v>
      </c>
      <c r="E1025">
        <v>0</v>
      </c>
      <c r="F1025" t="s">
        <v>19</v>
      </c>
      <c r="G1025" t="s">
        <v>25</v>
      </c>
      <c r="H1025" t="s">
        <v>18</v>
      </c>
      <c r="I1025">
        <v>1</v>
      </c>
      <c r="J1025" t="s">
        <v>16</v>
      </c>
      <c r="K1025" t="s">
        <v>24</v>
      </c>
      <c r="L1025">
        <v>26</v>
      </c>
      <c r="M1025" t="str">
        <f t="shared" si="15"/>
        <v>Adolescent 0-30</v>
      </c>
      <c r="N1025" t="s">
        <v>15</v>
      </c>
    </row>
    <row r="1026" spans="1:14" x14ac:dyDescent="0.25">
      <c r="A1026">
        <v>20942</v>
      </c>
      <c r="B1026" t="s">
        <v>37</v>
      </c>
      <c r="C1026" t="s">
        <v>39</v>
      </c>
      <c r="D1026" s="3">
        <v>20000</v>
      </c>
      <c r="E1026">
        <v>0</v>
      </c>
      <c r="F1026" t="s">
        <v>27</v>
      </c>
      <c r="G1026" t="s">
        <v>25</v>
      </c>
      <c r="H1026" t="s">
        <v>18</v>
      </c>
      <c r="I1026">
        <v>1</v>
      </c>
      <c r="J1026" t="s">
        <v>23</v>
      </c>
      <c r="K1026" t="s">
        <v>17</v>
      </c>
      <c r="L1026">
        <v>31</v>
      </c>
      <c r="M1026" t="str">
        <f t="shared" si="15"/>
        <v>Middle Age 31-54</v>
      </c>
      <c r="N1026" t="s">
        <v>18</v>
      </c>
    </row>
    <row r="1027" spans="1:14" x14ac:dyDescent="0.25">
      <c r="A1027">
        <v>18484</v>
      </c>
      <c r="B1027" t="s">
        <v>37</v>
      </c>
      <c r="C1027" t="s">
        <v>38</v>
      </c>
      <c r="D1027" s="3">
        <v>80000</v>
      </c>
      <c r="E1027">
        <v>2</v>
      </c>
      <c r="F1027" t="s">
        <v>27</v>
      </c>
      <c r="G1027" t="s">
        <v>14</v>
      </c>
      <c r="H1027" t="s">
        <v>18</v>
      </c>
      <c r="I1027">
        <v>2</v>
      </c>
      <c r="J1027" t="s">
        <v>26</v>
      </c>
      <c r="K1027" t="s">
        <v>24</v>
      </c>
      <c r="L1027">
        <v>50</v>
      </c>
      <c r="M1027" t="str">
        <f t="shared" ref="M1027" si="16">IF(L1027&gt;54, "Old 55+",  IF(L1027&gt;=31, "Middle Age 31-54", IF(L1027&lt;31,"Adolescent 0-30","Invalid" )))</f>
        <v>Middle Age 31-54</v>
      </c>
      <c r="N1027" t="s">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4"/>
  <sheetViews>
    <sheetView topLeftCell="A31" zoomScale="91" workbookViewId="0">
      <selection activeCell="L73" sqref="L73"/>
    </sheetView>
  </sheetViews>
  <sheetFormatPr defaultColWidth="13.140625" defaultRowHeight="15" x14ac:dyDescent="0.25"/>
  <cols>
    <col min="1" max="1" width="22.85546875" customWidth="1"/>
    <col min="2" max="2" width="16.28515625" customWidth="1"/>
    <col min="3" max="3" width="4.42578125" customWidth="1"/>
    <col min="4" max="4" width="11.28515625" customWidth="1"/>
  </cols>
  <sheetData>
    <row r="3" spans="1:4" x14ac:dyDescent="0.25">
      <c r="A3" s="4" t="s">
        <v>43</v>
      </c>
      <c r="B3" s="4" t="s">
        <v>44</v>
      </c>
    </row>
    <row r="4" spans="1:4" x14ac:dyDescent="0.25">
      <c r="A4" s="4" t="s">
        <v>41</v>
      </c>
      <c r="B4" t="s">
        <v>18</v>
      </c>
      <c r="C4" t="s">
        <v>15</v>
      </c>
      <c r="D4" t="s">
        <v>42</v>
      </c>
    </row>
    <row r="5" spans="1:4" x14ac:dyDescent="0.25">
      <c r="A5" s="5" t="s">
        <v>39</v>
      </c>
      <c r="B5" s="6">
        <v>53449.612403100778</v>
      </c>
      <c r="C5" s="6">
        <v>55267.489711934155</v>
      </c>
      <c r="D5" s="6">
        <v>54331.337325349305</v>
      </c>
    </row>
    <row r="6" spans="1:4" x14ac:dyDescent="0.25">
      <c r="A6" s="5" t="s">
        <v>38</v>
      </c>
      <c r="B6" s="6">
        <v>56520.146520146518</v>
      </c>
      <c r="C6" s="6">
        <v>59603.174603174601</v>
      </c>
      <c r="D6" s="6">
        <v>58000</v>
      </c>
    </row>
    <row r="7" spans="1:4" x14ac:dyDescent="0.25">
      <c r="A7" s="5" t="s">
        <v>42</v>
      </c>
      <c r="B7" s="6">
        <v>55028.248587570619</v>
      </c>
      <c r="C7" s="6">
        <v>57474.747474747477</v>
      </c>
      <c r="D7" s="6">
        <v>56208.576998050681</v>
      </c>
    </row>
    <row r="21" spans="1:4" x14ac:dyDescent="0.25">
      <c r="A21" s="4" t="s">
        <v>45</v>
      </c>
      <c r="B21" s="4" t="s">
        <v>44</v>
      </c>
    </row>
    <row r="22" spans="1:4" x14ac:dyDescent="0.25">
      <c r="A22" s="4" t="s">
        <v>41</v>
      </c>
      <c r="B22" t="s">
        <v>18</v>
      </c>
      <c r="C22" t="s">
        <v>15</v>
      </c>
      <c r="D22" t="s">
        <v>42</v>
      </c>
    </row>
    <row r="23" spans="1:4" x14ac:dyDescent="0.25">
      <c r="A23" s="5" t="s">
        <v>16</v>
      </c>
      <c r="B23" s="7">
        <v>171</v>
      </c>
      <c r="C23" s="7">
        <v>207</v>
      </c>
      <c r="D23" s="7">
        <v>378</v>
      </c>
    </row>
    <row r="24" spans="1:4" x14ac:dyDescent="0.25">
      <c r="A24" s="5" t="s">
        <v>26</v>
      </c>
      <c r="B24" s="7">
        <v>93</v>
      </c>
      <c r="C24" s="7">
        <v>83</v>
      </c>
      <c r="D24" s="7">
        <v>176</v>
      </c>
    </row>
    <row r="25" spans="1:4" x14ac:dyDescent="0.25">
      <c r="A25" s="5" t="s">
        <v>22</v>
      </c>
      <c r="B25" s="7">
        <v>67</v>
      </c>
      <c r="C25" s="7">
        <v>95</v>
      </c>
      <c r="D25" s="7">
        <v>162</v>
      </c>
    </row>
    <row r="26" spans="1:4" x14ac:dyDescent="0.25">
      <c r="A26" s="5" t="s">
        <v>23</v>
      </c>
      <c r="B26" s="7">
        <v>120</v>
      </c>
      <c r="C26" s="7">
        <v>77</v>
      </c>
      <c r="D26" s="7">
        <v>197</v>
      </c>
    </row>
    <row r="27" spans="1:4" x14ac:dyDescent="0.25">
      <c r="A27" s="5" t="s">
        <v>46</v>
      </c>
      <c r="B27" s="7">
        <v>80</v>
      </c>
      <c r="C27" s="7">
        <v>33</v>
      </c>
      <c r="D27" s="7">
        <v>113</v>
      </c>
    </row>
    <row r="28" spans="1:4" x14ac:dyDescent="0.25">
      <c r="A28" s="5" t="s">
        <v>42</v>
      </c>
      <c r="B28" s="7">
        <v>531</v>
      </c>
      <c r="C28" s="7">
        <v>495</v>
      </c>
      <c r="D28" s="7">
        <v>1026</v>
      </c>
    </row>
    <row r="40" spans="1:4" x14ac:dyDescent="0.25">
      <c r="A40" s="4" t="s">
        <v>45</v>
      </c>
      <c r="B40" s="4" t="s">
        <v>44</v>
      </c>
    </row>
    <row r="41" spans="1:4" x14ac:dyDescent="0.25">
      <c r="A41" s="4" t="s">
        <v>41</v>
      </c>
      <c r="B41" t="s">
        <v>18</v>
      </c>
      <c r="C41" t="s">
        <v>15</v>
      </c>
      <c r="D41" t="s">
        <v>42</v>
      </c>
    </row>
    <row r="42" spans="1:4" x14ac:dyDescent="0.25">
      <c r="A42" s="5" t="s">
        <v>47</v>
      </c>
      <c r="B42" s="7">
        <v>71</v>
      </c>
      <c r="C42" s="7">
        <v>41</v>
      </c>
      <c r="D42" s="7">
        <v>112</v>
      </c>
    </row>
    <row r="43" spans="1:4" x14ac:dyDescent="0.25">
      <c r="A43" s="5" t="s">
        <v>48</v>
      </c>
      <c r="B43" s="7">
        <v>326</v>
      </c>
      <c r="C43" s="7">
        <v>393</v>
      </c>
      <c r="D43" s="7">
        <v>719</v>
      </c>
    </row>
    <row r="44" spans="1:4" x14ac:dyDescent="0.25">
      <c r="A44" s="5" t="s">
        <v>49</v>
      </c>
      <c r="B44" s="7">
        <v>134</v>
      </c>
      <c r="C44" s="7">
        <v>61</v>
      </c>
      <c r="D44" s="7">
        <v>195</v>
      </c>
    </row>
    <row r="45" spans="1:4" x14ac:dyDescent="0.25">
      <c r="A45" s="5" t="s">
        <v>42</v>
      </c>
      <c r="B45" s="7">
        <v>531</v>
      </c>
      <c r="C45" s="7">
        <v>495</v>
      </c>
      <c r="D45" s="7">
        <v>1026</v>
      </c>
    </row>
    <row r="59" spans="1:4" x14ac:dyDescent="0.25">
      <c r="A59" s="4" t="s">
        <v>45</v>
      </c>
      <c r="B59" s="4" t="s">
        <v>44</v>
      </c>
    </row>
    <row r="60" spans="1:4" x14ac:dyDescent="0.25">
      <c r="A60" s="4" t="s">
        <v>41</v>
      </c>
      <c r="B60" t="s">
        <v>18</v>
      </c>
      <c r="C60" t="s">
        <v>15</v>
      </c>
      <c r="D60" t="s">
        <v>42</v>
      </c>
    </row>
    <row r="61" spans="1:4" x14ac:dyDescent="0.25">
      <c r="A61" s="5">
        <v>25</v>
      </c>
      <c r="B61" s="7">
        <v>2</v>
      </c>
      <c r="C61" s="7">
        <v>4</v>
      </c>
      <c r="D61" s="7">
        <v>6</v>
      </c>
    </row>
    <row r="62" spans="1:4" x14ac:dyDescent="0.25">
      <c r="A62" s="5">
        <v>26</v>
      </c>
      <c r="B62" s="7">
        <v>8</v>
      </c>
      <c r="C62" s="7">
        <v>9</v>
      </c>
      <c r="D62" s="7">
        <v>17</v>
      </c>
    </row>
    <row r="63" spans="1:4" x14ac:dyDescent="0.25">
      <c r="A63" s="5">
        <v>27</v>
      </c>
      <c r="B63" s="7">
        <v>15</v>
      </c>
      <c r="C63" s="7">
        <v>8</v>
      </c>
      <c r="D63" s="7">
        <v>23</v>
      </c>
    </row>
    <row r="64" spans="1:4" x14ac:dyDescent="0.25">
      <c r="A64" s="5">
        <v>28</v>
      </c>
      <c r="B64" s="7">
        <v>12</v>
      </c>
      <c r="C64" s="7">
        <v>10</v>
      </c>
      <c r="D64" s="7">
        <v>22</v>
      </c>
    </row>
    <row r="65" spans="1:4" x14ac:dyDescent="0.25">
      <c r="A65" s="5">
        <v>29</v>
      </c>
      <c r="B65" s="7">
        <v>11</v>
      </c>
      <c r="C65" s="7">
        <v>6</v>
      </c>
      <c r="D65" s="7">
        <v>17</v>
      </c>
    </row>
    <row r="66" spans="1:4" x14ac:dyDescent="0.25">
      <c r="A66" s="5">
        <v>30</v>
      </c>
      <c r="B66" s="7">
        <v>23</v>
      </c>
      <c r="C66" s="7">
        <v>4</v>
      </c>
      <c r="D66" s="7">
        <v>27</v>
      </c>
    </row>
    <row r="67" spans="1:4" x14ac:dyDescent="0.25">
      <c r="A67" s="5">
        <v>31</v>
      </c>
      <c r="B67" s="7">
        <v>18</v>
      </c>
      <c r="C67" s="7">
        <v>8</v>
      </c>
      <c r="D67" s="7">
        <v>26</v>
      </c>
    </row>
    <row r="68" spans="1:4" x14ac:dyDescent="0.25">
      <c r="A68" s="5">
        <v>32</v>
      </c>
      <c r="B68" s="7">
        <v>19</v>
      </c>
      <c r="C68" s="7">
        <v>15</v>
      </c>
      <c r="D68" s="7">
        <v>34</v>
      </c>
    </row>
    <row r="69" spans="1:4" x14ac:dyDescent="0.25">
      <c r="A69" s="5">
        <v>33</v>
      </c>
      <c r="B69" s="7">
        <v>8</v>
      </c>
      <c r="C69" s="7">
        <v>13</v>
      </c>
      <c r="D69" s="7">
        <v>21</v>
      </c>
    </row>
    <row r="70" spans="1:4" x14ac:dyDescent="0.25">
      <c r="A70" s="5">
        <v>34</v>
      </c>
      <c r="B70" s="7">
        <v>13</v>
      </c>
      <c r="C70" s="7">
        <v>19</v>
      </c>
      <c r="D70" s="7">
        <v>32</v>
      </c>
    </row>
    <row r="71" spans="1:4" x14ac:dyDescent="0.25">
      <c r="A71" s="5">
        <v>35</v>
      </c>
      <c r="B71" s="7">
        <v>15</v>
      </c>
      <c r="C71" s="7">
        <v>25</v>
      </c>
      <c r="D71" s="7">
        <v>40</v>
      </c>
    </row>
    <row r="72" spans="1:4" x14ac:dyDescent="0.25">
      <c r="A72" s="5">
        <v>36</v>
      </c>
      <c r="B72" s="7">
        <v>8</v>
      </c>
      <c r="C72" s="7">
        <v>31</v>
      </c>
      <c r="D72" s="7">
        <v>39</v>
      </c>
    </row>
    <row r="73" spans="1:4" x14ac:dyDescent="0.25">
      <c r="A73" s="5">
        <v>37</v>
      </c>
      <c r="B73" s="7">
        <v>4</v>
      </c>
      <c r="C73" s="7">
        <v>28</v>
      </c>
      <c r="D73" s="7">
        <v>32</v>
      </c>
    </row>
    <row r="74" spans="1:4" x14ac:dyDescent="0.25">
      <c r="A74" s="5">
        <v>38</v>
      </c>
      <c r="B74" s="7">
        <v>8</v>
      </c>
      <c r="C74" s="7">
        <v>30</v>
      </c>
      <c r="D74" s="7">
        <v>38</v>
      </c>
    </row>
    <row r="75" spans="1:4" x14ac:dyDescent="0.25">
      <c r="A75" s="5">
        <v>39</v>
      </c>
      <c r="B75" s="7">
        <v>10</v>
      </c>
      <c r="C75" s="7">
        <v>12</v>
      </c>
      <c r="D75" s="7">
        <v>22</v>
      </c>
    </row>
    <row r="76" spans="1:4" x14ac:dyDescent="0.25">
      <c r="A76" s="5">
        <v>40</v>
      </c>
      <c r="B76" s="7">
        <v>25</v>
      </c>
      <c r="C76" s="7">
        <v>19</v>
      </c>
      <c r="D76" s="7">
        <v>44</v>
      </c>
    </row>
    <row r="77" spans="1:4" x14ac:dyDescent="0.25">
      <c r="A77" s="5">
        <v>41</v>
      </c>
      <c r="B77" s="7">
        <v>13</v>
      </c>
      <c r="C77" s="7">
        <v>15</v>
      </c>
      <c r="D77" s="7">
        <v>28</v>
      </c>
    </row>
    <row r="78" spans="1:4" x14ac:dyDescent="0.25">
      <c r="A78" s="5">
        <v>42</v>
      </c>
      <c r="B78" s="7">
        <v>22</v>
      </c>
      <c r="C78" s="7">
        <v>12</v>
      </c>
      <c r="D78" s="7">
        <v>34</v>
      </c>
    </row>
    <row r="79" spans="1:4" x14ac:dyDescent="0.25">
      <c r="A79" s="5">
        <v>43</v>
      </c>
      <c r="B79" s="7">
        <v>17</v>
      </c>
      <c r="C79" s="7">
        <v>19</v>
      </c>
      <c r="D79" s="7">
        <v>36</v>
      </c>
    </row>
    <row r="80" spans="1:4" x14ac:dyDescent="0.25">
      <c r="A80" s="5">
        <v>44</v>
      </c>
      <c r="B80" s="7">
        <v>16</v>
      </c>
      <c r="C80" s="7">
        <v>12</v>
      </c>
      <c r="D80" s="7">
        <v>28</v>
      </c>
    </row>
    <row r="81" spans="1:4" x14ac:dyDescent="0.25">
      <c r="A81" s="5">
        <v>45</v>
      </c>
      <c r="B81" s="7">
        <v>18</v>
      </c>
      <c r="C81" s="7">
        <v>14</v>
      </c>
      <c r="D81" s="7">
        <v>32</v>
      </c>
    </row>
    <row r="82" spans="1:4" x14ac:dyDescent="0.25">
      <c r="A82" s="5">
        <v>46</v>
      </c>
      <c r="B82" s="7">
        <v>12</v>
      </c>
      <c r="C82" s="7">
        <v>15</v>
      </c>
      <c r="D82" s="7">
        <v>27</v>
      </c>
    </row>
    <row r="83" spans="1:4" x14ac:dyDescent="0.25">
      <c r="A83" s="5">
        <v>47</v>
      </c>
      <c r="B83" s="7">
        <v>20</v>
      </c>
      <c r="C83" s="7">
        <v>20</v>
      </c>
      <c r="D83" s="7">
        <v>40</v>
      </c>
    </row>
    <row r="84" spans="1:4" x14ac:dyDescent="0.25">
      <c r="A84" s="5">
        <v>48</v>
      </c>
      <c r="B84" s="7">
        <v>16</v>
      </c>
      <c r="C84" s="7">
        <v>13</v>
      </c>
      <c r="D84" s="7">
        <v>29</v>
      </c>
    </row>
    <row r="85" spans="1:4" x14ac:dyDescent="0.25">
      <c r="A85" s="5">
        <v>49</v>
      </c>
      <c r="B85" s="7">
        <v>15</v>
      </c>
      <c r="C85" s="7">
        <v>8</v>
      </c>
      <c r="D85" s="7">
        <v>23</v>
      </c>
    </row>
    <row r="86" spans="1:4" x14ac:dyDescent="0.25">
      <c r="A86" s="5">
        <v>50</v>
      </c>
      <c r="B86" s="7">
        <v>13</v>
      </c>
      <c r="C86" s="7">
        <v>13</v>
      </c>
      <c r="D86" s="7">
        <v>26</v>
      </c>
    </row>
    <row r="87" spans="1:4" x14ac:dyDescent="0.25">
      <c r="A87" s="5">
        <v>51</v>
      </c>
      <c r="B87" s="7">
        <v>10</v>
      </c>
      <c r="C87" s="7">
        <v>12</v>
      </c>
      <c r="D87" s="7">
        <v>22</v>
      </c>
    </row>
    <row r="88" spans="1:4" x14ac:dyDescent="0.25">
      <c r="A88" s="5">
        <v>52</v>
      </c>
      <c r="B88" s="7">
        <v>10</v>
      </c>
      <c r="C88" s="7">
        <v>15</v>
      </c>
      <c r="D88" s="7">
        <v>25</v>
      </c>
    </row>
    <row r="89" spans="1:4" x14ac:dyDescent="0.25">
      <c r="A89" s="5">
        <v>53</v>
      </c>
      <c r="B89" s="7">
        <v>11</v>
      </c>
      <c r="C89" s="7">
        <v>13</v>
      </c>
      <c r="D89" s="7">
        <v>24</v>
      </c>
    </row>
    <row r="90" spans="1:4" x14ac:dyDescent="0.25">
      <c r="A90" s="5">
        <v>54</v>
      </c>
      <c r="B90" s="7">
        <v>5</v>
      </c>
      <c r="C90" s="7">
        <v>12</v>
      </c>
      <c r="D90" s="7">
        <v>17</v>
      </c>
    </row>
    <row r="91" spans="1:4" x14ac:dyDescent="0.25">
      <c r="A91" s="5">
        <v>55</v>
      </c>
      <c r="B91" s="7">
        <v>14</v>
      </c>
      <c r="C91" s="7">
        <v>6</v>
      </c>
      <c r="D91" s="7">
        <v>20</v>
      </c>
    </row>
    <row r="92" spans="1:4" x14ac:dyDescent="0.25">
      <c r="A92" s="5">
        <v>56</v>
      </c>
      <c r="B92" s="7">
        <v>14</v>
      </c>
      <c r="C92" s="7">
        <v>3</v>
      </c>
      <c r="D92" s="7">
        <v>17</v>
      </c>
    </row>
    <row r="93" spans="1:4" x14ac:dyDescent="0.25">
      <c r="A93" s="5">
        <v>57</v>
      </c>
      <c r="B93" s="7">
        <v>4</v>
      </c>
      <c r="C93" s="7">
        <v>4</v>
      </c>
      <c r="D93" s="7">
        <v>8</v>
      </c>
    </row>
    <row r="94" spans="1:4" x14ac:dyDescent="0.25">
      <c r="A94" s="5">
        <v>58</v>
      </c>
      <c r="B94" s="7">
        <v>8</v>
      </c>
      <c r="C94" s="7">
        <v>4</v>
      </c>
      <c r="D94" s="7">
        <v>12</v>
      </c>
    </row>
    <row r="95" spans="1:4" x14ac:dyDescent="0.25">
      <c r="A95" s="5">
        <v>59</v>
      </c>
      <c r="B95" s="7">
        <v>14</v>
      </c>
      <c r="C95" s="7">
        <v>7</v>
      </c>
      <c r="D95" s="7">
        <v>21</v>
      </c>
    </row>
    <row r="96" spans="1:4" x14ac:dyDescent="0.25">
      <c r="A96" s="5">
        <v>60</v>
      </c>
      <c r="B96" s="7">
        <v>8</v>
      </c>
      <c r="C96" s="7">
        <v>7</v>
      </c>
      <c r="D96" s="7">
        <v>15</v>
      </c>
    </row>
    <row r="97" spans="1:4" x14ac:dyDescent="0.25">
      <c r="A97" s="5">
        <v>61</v>
      </c>
      <c r="B97" s="7">
        <v>5</v>
      </c>
      <c r="C97" s="7">
        <v>4</v>
      </c>
      <c r="D97" s="7">
        <v>9</v>
      </c>
    </row>
    <row r="98" spans="1:4" x14ac:dyDescent="0.25">
      <c r="A98" s="5">
        <v>62</v>
      </c>
      <c r="B98" s="7">
        <v>9</v>
      </c>
      <c r="C98" s="7">
        <v>4</v>
      </c>
      <c r="D98" s="7">
        <v>13</v>
      </c>
    </row>
    <row r="99" spans="1:4" x14ac:dyDescent="0.25">
      <c r="A99" s="5">
        <v>63</v>
      </c>
      <c r="B99" s="7">
        <v>9</v>
      </c>
      <c r="C99" s="7">
        <v>2</v>
      </c>
      <c r="D99" s="7">
        <v>11</v>
      </c>
    </row>
    <row r="100" spans="1:4" x14ac:dyDescent="0.25">
      <c r="A100" s="5">
        <v>64</v>
      </c>
      <c r="B100" s="7">
        <v>7</v>
      </c>
      <c r="C100" s="7">
        <v>3</v>
      </c>
      <c r="D100" s="7">
        <v>10</v>
      </c>
    </row>
    <row r="101" spans="1:4" x14ac:dyDescent="0.25">
      <c r="A101" s="5">
        <v>65</v>
      </c>
      <c r="B101" s="7">
        <v>6</v>
      </c>
      <c r="C101" s="7">
        <v>3</v>
      </c>
      <c r="D101" s="7">
        <v>9</v>
      </c>
    </row>
    <row r="102" spans="1:4" x14ac:dyDescent="0.25">
      <c r="A102" s="5">
        <v>66</v>
      </c>
      <c r="B102" s="7">
        <v>8</v>
      </c>
      <c r="C102" s="7">
        <v>6</v>
      </c>
      <c r="D102" s="7">
        <v>14</v>
      </c>
    </row>
    <row r="103" spans="1:4" x14ac:dyDescent="0.25">
      <c r="A103" s="5">
        <v>67</v>
      </c>
      <c r="B103" s="7">
        <v>8</v>
      </c>
      <c r="C103" s="7">
        <v>2</v>
      </c>
      <c r="D103" s="7">
        <v>10</v>
      </c>
    </row>
    <row r="104" spans="1:4" x14ac:dyDescent="0.25">
      <c r="A104" s="5">
        <v>68</v>
      </c>
      <c r="B104" s="7">
        <v>3</v>
      </c>
      <c r="C104" s="7"/>
      <c r="D104" s="7">
        <v>3</v>
      </c>
    </row>
    <row r="105" spans="1:4" x14ac:dyDescent="0.25">
      <c r="A105" s="5">
        <v>69</v>
      </c>
      <c r="B105" s="7">
        <v>8</v>
      </c>
      <c r="C105" s="7"/>
      <c r="D105" s="7">
        <v>8</v>
      </c>
    </row>
    <row r="106" spans="1:4" x14ac:dyDescent="0.25">
      <c r="A106" s="5">
        <v>70</v>
      </c>
      <c r="B106" s="7">
        <v>3</v>
      </c>
      <c r="C106" s="7">
        <v>1</v>
      </c>
      <c r="D106" s="7">
        <v>4</v>
      </c>
    </row>
    <row r="107" spans="1:4" x14ac:dyDescent="0.25">
      <c r="A107" s="5">
        <v>71</v>
      </c>
      <c r="B107" s="7">
        <v>1</v>
      </c>
      <c r="C107" s="7"/>
      <c r="D107" s="7">
        <v>1</v>
      </c>
    </row>
    <row r="108" spans="1:4" x14ac:dyDescent="0.25">
      <c r="A108" s="5">
        <v>72</v>
      </c>
      <c r="B108" s="7"/>
      <c r="C108" s="7">
        <v>1</v>
      </c>
      <c r="D108" s="7">
        <v>1</v>
      </c>
    </row>
    <row r="109" spans="1:4" x14ac:dyDescent="0.25">
      <c r="A109" s="5">
        <v>73</v>
      </c>
      <c r="B109" s="7">
        <v>2</v>
      </c>
      <c r="C109" s="7">
        <v>2</v>
      </c>
      <c r="D109" s="7">
        <v>4</v>
      </c>
    </row>
    <row r="110" spans="1:4" x14ac:dyDescent="0.25">
      <c r="A110" s="5">
        <v>74</v>
      </c>
      <c r="B110" s="7"/>
      <c r="C110" s="7">
        <v>1</v>
      </c>
      <c r="D110" s="7">
        <v>1</v>
      </c>
    </row>
    <row r="111" spans="1:4" x14ac:dyDescent="0.25">
      <c r="A111" s="5">
        <v>78</v>
      </c>
      <c r="B111" s="7">
        <v>1</v>
      </c>
      <c r="C111" s="7">
        <v>1</v>
      </c>
      <c r="D111" s="7">
        <v>2</v>
      </c>
    </row>
    <row r="112" spans="1:4" x14ac:dyDescent="0.25">
      <c r="A112" s="5">
        <v>80</v>
      </c>
      <c r="B112" s="7">
        <v>1</v>
      </c>
      <c r="C112" s="7"/>
      <c r="D112" s="7">
        <v>1</v>
      </c>
    </row>
    <row r="113" spans="1:4" x14ac:dyDescent="0.25">
      <c r="A113" s="5">
        <v>89</v>
      </c>
      <c r="B113" s="7">
        <v>1</v>
      </c>
      <c r="C113" s="7"/>
      <c r="D113" s="7">
        <v>1</v>
      </c>
    </row>
    <row r="114" spans="1:4" x14ac:dyDescent="0.25">
      <c r="A114" s="5" t="s">
        <v>42</v>
      </c>
      <c r="B114" s="7">
        <v>531</v>
      </c>
      <c r="C114" s="7">
        <v>495</v>
      </c>
      <c r="D114" s="7">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showGridLines="0" tabSelected="1" zoomScale="70" zoomScaleNormal="85" workbookViewId="0">
      <selection activeCell="S13" sqref="S13"/>
    </sheetView>
  </sheetViews>
  <sheetFormatPr defaultRowHeight="15" x14ac:dyDescent="0.25"/>
  <sheetData>
    <row r="1" spans="1:17" ht="15" customHeight="1" x14ac:dyDescent="0.25">
      <c r="A1" s="8" t="s">
        <v>50</v>
      </c>
      <c r="B1" s="8"/>
      <c r="C1" s="8"/>
      <c r="D1" s="8"/>
      <c r="E1" s="8"/>
      <c r="F1" s="8"/>
      <c r="G1" s="8"/>
      <c r="H1" s="8"/>
      <c r="I1" s="8"/>
      <c r="J1" s="8"/>
      <c r="K1" s="8"/>
      <c r="L1" s="8"/>
      <c r="M1" s="8"/>
      <c r="N1" s="8"/>
      <c r="O1" s="8"/>
      <c r="P1" s="8"/>
      <c r="Q1" s="8"/>
    </row>
    <row r="2" spans="1:17" ht="15" customHeight="1" x14ac:dyDescent="0.25">
      <c r="A2" s="8"/>
      <c r="B2" s="8"/>
      <c r="C2" s="8"/>
      <c r="D2" s="8"/>
      <c r="E2" s="8"/>
      <c r="F2" s="8"/>
      <c r="G2" s="8"/>
      <c r="H2" s="8"/>
      <c r="I2" s="8"/>
      <c r="J2" s="8"/>
      <c r="K2" s="8"/>
      <c r="L2" s="8"/>
      <c r="M2" s="8"/>
      <c r="N2" s="8"/>
      <c r="O2" s="8"/>
      <c r="P2" s="8"/>
      <c r="Q2" s="8"/>
    </row>
    <row r="3" spans="1:17" ht="15" customHeight="1" x14ac:dyDescent="0.25">
      <c r="A3" s="8"/>
      <c r="B3" s="8"/>
      <c r="C3" s="8"/>
      <c r="D3" s="8"/>
      <c r="E3" s="8"/>
      <c r="F3" s="8"/>
      <c r="G3" s="8"/>
      <c r="H3" s="8"/>
      <c r="I3" s="8"/>
      <c r="J3" s="8"/>
      <c r="K3" s="8"/>
      <c r="L3" s="8"/>
      <c r="M3" s="8"/>
      <c r="N3" s="8"/>
      <c r="O3" s="8"/>
      <c r="P3" s="8"/>
      <c r="Q3" s="8"/>
    </row>
    <row r="4" spans="1:17" ht="15" customHeight="1" x14ac:dyDescent="0.25">
      <c r="A4" s="8"/>
      <c r="B4" s="8"/>
      <c r="C4" s="8"/>
      <c r="D4" s="8"/>
      <c r="E4" s="8"/>
      <c r="F4" s="8"/>
      <c r="G4" s="8"/>
      <c r="H4" s="8"/>
      <c r="I4" s="8"/>
      <c r="J4" s="8"/>
      <c r="K4" s="8"/>
      <c r="L4" s="8"/>
      <c r="M4" s="8"/>
      <c r="N4" s="8"/>
      <c r="O4" s="8"/>
      <c r="P4" s="8"/>
      <c r="Q4" s="8"/>
    </row>
    <row r="5" spans="1:17" ht="15" customHeight="1" x14ac:dyDescent="0.25">
      <c r="A5" s="8"/>
      <c r="B5" s="8"/>
      <c r="C5" s="8"/>
      <c r="D5" s="8"/>
      <c r="E5" s="8"/>
      <c r="F5" s="8"/>
      <c r="G5" s="8"/>
      <c r="H5" s="8"/>
      <c r="I5" s="8"/>
      <c r="J5" s="8"/>
      <c r="K5" s="8"/>
      <c r="L5" s="8"/>
      <c r="M5" s="8"/>
      <c r="N5" s="8"/>
      <c r="O5" s="8"/>
      <c r="P5" s="8"/>
      <c r="Q5" s="8"/>
    </row>
    <row r="6" spans="1:17" ht="15" customHeight="1" x14ac:dyDescent="0.25">
      <c r="A6" s="8"/>
      <c r="B6" s="8"/>
      <c r="C6" s="8"/>
      <c r="D6" s="8"/>
      <c r="E6" s="8"/>
      <c r="F6" s="8"/>
      <c r="G6" s="8"/>
      <c r="H6" s="8"/>
      <c r="I6" s="8"/>
      <c r="J6" s="8"/>
      <c r="K6" s="8"/>
      <c r="L6" s="8"/>
      <c r="M6" s="8"/>
      <c r="N6" s="8"/>
      <c r="O6" s="8"/>
      <c r="P6" s="8"/>
      <c r="Q6" s="8"/>
    </row>
  </sheetData>
  <mergeCells count="1">
    <mergeCell ref="A1:Q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bikebuyers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Kelethabo Molefe</dc:creator>
  <cp:lastModifiedBy>HP</cp:lastModifiedBy>
  <dcterms:created xsi:type="dcterms:W3CDTF">2022-03-18T02:50:57Z</dcterms:created>
  <dcterms:modified xsi:type="dcterms:W3CDTF">2025-11-20T02:49:27Z</dcterms:modified>
</cp:coreProperties>
</file>