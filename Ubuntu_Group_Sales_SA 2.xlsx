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HP\Downloads\"/>
    </mc:Choice>
  </mc:AlternateContent>
  <bookViews>
    <workbookView xWindow="0" yWindow="0" windowWidth="20490" windowHeight="7500" activeTab="2"/>
  </bookViews>
  <sheets>
    <sheet name="Ubuntu_Group_Sales_SA" sheetId="1" r:id="rId1"/>
    <sheet name="Worksheet" sheetId="2" r:id="rId2"/>
    <sheet name="Pivot Table" sheetId="3" r:id="rId3"/>
    <sheet name="Dashboard" sheetId="4" r:id="rId4"/>
  </sheets>
  <definedNames>
    <definedName name="_xlchart.0" hidden="1">'Pivot Table'!$D$23:$D$31</definedName>
    <definedName name="_xlchart.1" hidden="1">'Pivot Table'!$E$23:$E$31</definedName>
    <definedName name="_xlchart.10" hidden="1">'Pivot Table'!$D$23:$D$31</definedName>
    <definedName name="_xlchart.11" hidden="1">'Pivot Table'!$E$23:$E$31</definedName>
    <definedName name="_xlchart.2" hidden="1">'Pivot Table'!$D$23:$D$31</definedName>
    <definedName name="_xlchart.3" hidden="1">'Pivot Table'!$E$23:$E$31</definedName>
    <definedName name="_xlchart.4" hidden="1">'Pivot Table'!$D$23:$D$31</definedName>
    <definedName name="_xlchart.5" hidden="1">'Pivot Table'!$E$23:$E$31</definedName>
    <definedName name="_xlchart.6" hidden="1">'Pivot Table'!$D$23:$D$31</definedName>
    <definedName name="_xlchart.7" hidden="1">'Pivot Table'!$E$23:$E$31</definedName>
    <definedName name="_xlchart.8" hidden="1">'Pivot Table'!$D$23:$D$31</definedName>
    <definedName name="_xlchart.9" hidden="1">'Pivot Table'!$E$23:$E$31</definedName>
    <definedName name="Slicer_Months">#N/A</definedName>
    <definedName name="Slicer_Product">#N/A</definedName>
    <definedName name="Slicer_Region">#N/A</definedName>
  </definedNames>
  <calcPr calcId="0"/>
  <pivotCaches>
    <pivotCache cacheId="13"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<sst xmlns="http://schemas.openxmlformats.org/spreadsheetml/2006/main" count="2483" uniqueCount="99">
  <si>
    <t>Retailer</t>
  </si>
  <si>
    <t>Retailer ID</t>
  </si>
  <si>
    <t>Invoice Date</t>
  </si>
  <si>
    <t>Region</t>
  </si>
  <si>
    <t>Province</t>
  </si>
  <si>
    <t>City</t>
  </si>
  <si>
    <t>Product</t>
  </si>
  <si>
    <t>Price per Unit (R)</t>
  </si>
  <si>
    <t>Units Sold</t>
  </si>
  <si>
    <t>Total Sales (R)</t>
  </si>
  <si>
    <t>Operating Profit (R)</t>
  </si>
  <si>
    <t>Operating Margin</t>
  </si>
  <si>
    <t>Sales Method</t>
  </si>
  <si>
    <t>Ubuntu Group</t>
  </si>
  <si>
    <t>Southern Africa</t>
  </si>
  <si>
    <t>Gauteng</t>
  </si>
  <si>
    <t>Johannesburg</t>
  </si>
  <si>
    <t>Men's Street Footwear</t>
  </si>
  <si>
    <t>Outlet</t>
  </si>
  <si>
    <t>Men's Athletic Footwear</t>
  </si>
  <si>
    <t>Women's Street Footwear</t>
  </si>
  <si>
    <t>Women's Athletic Footwear</t>
  </si>
  <si>
    <t>Men's Apparel</t>
  </si>
  <si>
    <t>Women's Apparel</t>
  </si>
  <si>
    <t>Takealot</t>
  </si>
  <si>
    <t>Western Cape</t>
  </si>
  <si>
    <t>Cape Town</t>
  </si>
  <si>
    <t>Online</t>
  </si>
  <si>
    <t>Woolworths</t>
  </si>
  <si>
    <t>KwaZulu-Natal</t>
  </si>
  <si>
    <t>Durban</t>
  </si>
  <si>
    <t>In-store</t>
  </si>
  <si>
    <t>Pick n Pay</t>
  </si>
  <si>
    <t>Eastern Cape</t>
  </si>
  <si>
    <t>Port Elizabeth</t>
  </si>
  <si>
    <t>Checkers</t>
  </si>
  <si>
    <t>Free State</t>
  </si>
  <si>
    <t>Bloemfontein</t>
  </si>
  <si>
    <t>SuperSport</t>
  </si>
  <si>
    <t>North West</t>
  </si>
  <si>
    <t>Rustenburg</t>
  </si>
  <si>
    <t>Sportscene</t>
  </si>
  <si>
    <t>Limpopo</t>
  </si>
  <si>
    <t>Polokwane</t>
  </si>
  <si>
    <t>Mr Price Sport</t>
  </si>
  <si>
    <t>Mpumalanga</t>
  </si>
  <si>
    <t>Nelspruit</t>
  </si>
  <si>
    <t>Makro</t>
  </si>
  <si>
    <t>Northern Cape</t>
  </si>
  <si>
    <t>Kimberley</t>
  </si>
  <si>
    <t>Game Stores</t>
  </si>
  <si>
    <t>Pretoria</t>
  </si>
  <si>
    <t>East London</t>
  </si>
  <si>
    <t>Kroonstad</t>
  </si>
  <si>
    <t>Mafikeng</t>
  </si>
  <si>
    <t>Musina</t>
  </si>
  <si>
    <t>Mbombela</t>
  </si>
  <si>
    <t>Upington</t>
  </si>
  <si>
    <t>Vereeniging</t>
  </si>
  <si>
    <t>Gqeberha</t>
  </si>
  <si>
    <t>Potchefstroom</t>
  </si>
  <si>
    <t>Thohoyandou</t>
  </si>
  <si>
    <t>Witbank</t>
  </si>
  <si>
    <t>Springbok</t>
  </si>
  <si>
    <t>Benoni</t>
  </si>
  <si>
    <t>Stellenbosch</t>
  </si>
  <si>
    <t>Pietermaritzburg</t>
  </si>
  <si>
    <t>Mthatha</t>
  </si>
  <si>
    <t>Welkom</t>
  </si>
  <si>
    <t>Mahikeng</t>
  </si>
  <si>
    <t>Lebowakgomo</t>
  </si>
  <si>
    <t>Secunda</t>
  </si>
  <si>
    <t>Danielskuil</t>
  </si>
  <si>
    <t>Soweto</t>
  </si>
  <si>
    <t>George</t>
  </si>
  <si>
    <t>Ulundi</t>
  </si>
  <si>
    <t>Sasolburg</t>
  </si>
  <si>
    <t>Lichtenburg</t>
  </si>
  <si>
    <t>Tzaneen</t>
  </si>
  <si>
    <t>Middelburg</t>
  </si>
  <si>
    <t>De Aar</t>
  </si>
  <si>
    <t>Vanderbijlpark</t>
  </si>
  <si>
    <t>Ubuntu Group Sales</t>
  </si>
  <si>
    <t>Sum of Total Sales (R)</t>
  </si>
  <si>
    <t>Row Labels</t>
  </si>
  <si>
    <t>Grand Total</t>
  </si>
  <si>
    <t>Jan</t>
  </si>
  <si>
    <t>Feb</t>
  </si>
  <si>
    <t>Mar</t>
  </si>
  <si>
    <t>Apr</t>
  </si>
  <si>
    <t>May</t>
  </si>
  <si>
    <t>Jun</t>
  </si>
  <si>
    <t>Jul</t>
  </si>
  <si>
    <t>Aug</t>
  </si>
  <si>
    <t>Sep</t>
  </si>
  <si>
    <t>Oct</t>
  </si>
  <si>
    <t>Nov</t>
  </si>
  <si>
    <t>Country</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</si>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</sst>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409]d\-mmm\-yy;@"/>
    <numFmt numFmtId="165" formatCode="_-[$R-1C09]* #,##0.00_-;\-[$R-1C09]* #,##0.00_-;_-[$R-1C09]*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0"/>
      <name val="Calibri"/>
      <family val="2"/>
      <scheme val="minor"/>
    </font>
    <font>
      <b/>
      <sz val="24"/>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9"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14" fontId="0" fillId="0" borderId="0" xfId="0" applyNumberFormat="1"/>
    <xf numFmtId="9" fontId="0" fillId="0" borderId="0" xfId="0" applyNumberFormat="1"/>
    <xf numFmtId="0" fontId="16" fillId="34" borderId="0" xfId="0" applyFont="1" applyFill="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18" fillId="33" borderId="0" xfId="0" applyFont="1" applyFill="1" applyAlignment="1">
      <alignment horizontal="center" vertical="center"/>
    </xf>
    <xf numFmtId="0" fontId="19"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4">
    <dxf>
      <numFmt numFmtId="165" formatCode="_-[$R-1C09]* #,##0.00_-;\-[$R-1C09]* #,##0.00_-;_-[$R-1C09]* &quot;-&quot;??_-;_-@_-"/>
    </dxf>
    <dxf>
      <numFmt numFmtId="34" formatCode="_(&quot;$&quot;* #,##0.00_);_(&quot;$&quot;* \(#,##0.00\);_(&quot;$&quot;* &quot;-&quot;??_);_(@_)"/>
    </dxf>
    <dxf>
      <numFmt numFmtId="165" formatCode="_-[$R-1C09]* #,##0.00_-;\-[$R-1C09]* #,##0.00_-;_-[$R-1C09]* &quot;-&quot;??_-;_-@_-"/>
    </dxf>
    <dxf>
      <numFmt numFmtId="165" formatCode="_-[$R-1C09]* #,##0.00_-;\-[$R-1C09]* #,##0.00_-;_-[$R-1C09]* &quot;-&quot;??_-;_-@_-"/>
    </dxf>
    <dxf>
      <numFmt numFmtId="34" formatCode="_(&quot;$&quot;* #,##0.00_);_(&quot;$&quot;* \(#,##0.00\);_(&quot;$&quot;* &quot;-&quot;??_);_(@_)"/>
    </dxf>
    <dxf>
      <numFmt numFmtId="165" formatCode="_-[$R-1C09]* #,##0.00_-;\-[$R-1C09]* #,##0.00_-;_-[$R-1C09]* &quot;-&quot;??_-;_-@_-"/>
    </dxf>
    <dxf>
      <numFmt numFmtId="165" formatCode="_-[$R-1C09]* #,##0.00_-;\-[$R-1C09]* #,##0.00_-;_-[$R-1C09]* &quot;-&quot;??_-;_-@_-"/>
    </dxf>
    <dxf>
      <numFmt numFmtId="34" formatCode="_(&quot;$&quot;* #,##0.00_);_(&quot;$&quot;* \(#,##0.00\);_(&quot;$&quot;* &quot;-&quot;??_);_(@_)"/>
    </dxf>
    <dxf>
      <numFmt numFmtId="165" formatCode="_-[$R-1C09]* #,##0.00_-;\-[$R-1C09]* #,##0.00_-;_-[$R-1C09]* &quot;-&quot;??_-;_-@_-"/>
    </dxf>
    <dxf>
      <numFmt numFmtId="165" formatCode="_-[$R-1C09]* #,##0.00_-;\-[$R-1C09]* #,##0.00_-;_-[$R-1C09]* &quot;-&quot;??_-;_-@_-"/>
    </dxf>
    <dxf>
      <numFmt numFmtId="34" formatCode="_(&quot;$&quot;* #,##0.00_);_(&quot;$&quot;* \(#,##0.00\);_(&quot;$&quot;* &quot;-&quot;??_);_(@_)"/>
    </dxf>
    <dxf>
      <numFmt numFmtId="165" formatCode="_-[$R-1C09]* #,##0.00_-;\-[$R-1C09]* #,##0.00_-;_-[$R-1C09]* &quot;-&quot;??_-;_-@_-"/>
    </dxf>
    <dxf>
      <numFmt numFmtId="165" formatCode="_-[$R-1C09]* #,##0.00_-;\-[$R-1C09]* #,##0.00_-;_-[$R-1C09]* &quot;-&quot;??_-;_-@_-"/>
    </dxf>
    <dxf>
      <numFmt numFmtId="34" formatCode="_(&quot;$&quot;* #,##0.00_);_(&quot;$&quot;* \(#,##0.00\);_(&quot;$&quot;* &quot;-&quot;??_);_(@_)"/>
    </dxf>
    <dxf>
      <numFmt numFmtId="165" formatCode="_-[$R-1C09]* #,##0.00_-;\-[$R-1C09]* #,##0.00_-;_-[$R-1C09]* &quot;-&quot;??_-;_-@_-"/>
    </dxf>
    <dxf>
      <numFmt numFmtId="165" formatCode="_-[$R-1C09]* #,##0.00_-;\-[$R-1C09]* #,##0.00_-;_-[$R-1C09]* &quot;-&quot;??_-;_-@_-"/>
    </dxf>
    <dxf>
      <numFmt numFmtId="34" formatCode="_(&quot;$&quot;* #,##0.00_);_(&quot;$&quot;* \(#,##0.00\);_(&quot;$&quot;* &quot;-&quot;??_);_(@_)"/>
    </dxf>
    <dxf>
      <numFmt numFmtId="165" formatCode="_-[$R-1C09]* #,##0.00_-;\-[$R-1C09]* #,##0.00_-;_-[$R-1C09]* &quot;-&quot;??_-;_-@_-"/>
    </dxf>
    <dxf>
      <numFmt numFmtId="165" formatCode="_-[$R-1C09]* #,##0.00_-;\-[$R-1C09]* #,##0.00_-;_-[$R-1C09]* &quot;-&quot;??_-;_-@_-"/>
    </dxf>
    <dxf>
      <numFmt numFmtId="34" formatCode="_(&quot;$&quot;* #,##0.00_);_(&quot;$&quot;* \(#,##0.00\);_(&quot;$&quot;* &quot;-&quot;??_);_(@_)"/>
    </dxf>
    <dxf>
      <numFmt numFmtId="165" formatCode="_-[$R-1C09]* #,##0.00_-;\-[$R-1C09]* #,##0.00_-;_-[$R-1C09]* &quot;-&quot;??_-;_-@_-"/>
    </dxf>
    <dxf>
      <numFmt numFmtId="165" formatCode="_-[$R-1C09]* #,##0.00_-;\-[$R-1C09]* #,##0.00_-;_-[$R-1C09]* &quot;-&quot;??_-;_-@_-"/>
    </dxf>
    <dxf>
      <numFmt numFmtId="34" formatCode="_(&quot;$&quot;* #,##0.00_);_(&quot;$&quot;* \(#,##0.00\);_(&quot;$&quot;* &quot;-&quot;??_);_(@_)"/>
    </dxf>
    <dxf>
      <numFmt numFmtId="165" formatCode="_-[$R-1C09]* #,##0.00_-;\-[$R-1C09]* #,##0.00_-;_-[$R-1C09]* &quot;-&quot;??_-;_-@_-"/>
    </dxf>
    <dxf>
      <numFmt numFmtId="165" formatCode="_-[$R-1C09]* #,##0.00_-;\-[$R-1C09]* #,##0.00_-;_-[$R-1C09]* &quot;-&quot;??_-;_-@_-"/>
    </dxf>
    <dxf>
      <numFmt numFmtId="34" formatCode="_(&quot;$&quot;* #,##0.00_);_(&quot;$&quot;* \(#,##0.00\);_(&quot;$&quot;* &quot;-&quot;??_);_(@_)"/>
    </dxf>
    <dxf>
      <numFmt numFmtId="165" formatCode="_-[$R-1C09]* #,##0.00_-;\-[$R-1C09]* #,##0.00_-;_-[$R-1C09]* &quot;-&quot;??_-;_-@_-"/>
    </dxf>
    <dxf>
      <numFmt numFmtId="165" formatCode="_-[$R-1C09]* #,##0.00_-;\-[$R-1C09]* #,##0.00_-;_-[$R-1C09]* &quot;-&quot;??_-;_-@_-"/>
    </dxf>
    <dxf>
      <numFmt numFmtId="34" formatCode="_(&quot;$&quot;* #,##0.00_);_(&quot;$&quot;* \(#,##0.00\);_(&quot;$&quot;* &quot;-&quot;??_);_(@_)"/>
    </dxf>
    <dxf>
      <numFmt numFmtId="165" formatCode="_-[$R-1C09]* #,##0.00_-;\-[$R-1C09]* #,##0.00_-;_-[$R-1C09]* &quot;-&quot;??_-;_-@_-"/>
    </dxf>
    <dxf>
      <numFmt numFmtId="165" formatCode="_-[$R-1C09]* #,##0.00_-;\-[$R-1C09]* #,##0.00_-;_-[$R-1C09]* &quot;-&quot;??_-;_-@_-"/>
    </dxf>
    <dxf>
      <numFmt numFmtId="34" formatCode="_(&quot;$&quot;* #,##0.00_);_(&quot;$&quot;* \(#,##0.00\);_(&quot;$&quot;* &quot;-&quot;??_);_(@_)"/>
    </dxf>
    <dxf>
      <numFmt numFmtId="165" formatCode="_-[$R-1C09]* #,##0.00_-;\-[$R-1C09]* #,##0.00_-;_-[$R-1C09]* &quot;-&quot;??_-;_-@_-"/>
    </dxf>
    <dxf>
      <numFmt numFmtId="165" formatCode="_-[$R-1C09]* #,##0.00_-;\-[$R-1C09]* #,##0.00_-;_-[$R-1C09]* &quot;-&quot;??_-;_-@_-"/>
    </dxf>
    <dxf>
      <numFmt numFmtId="34" formatCode="_(&quot;$&quot;* #,##0.00_);_(&quot;$&quot;* \(#,##0.00\);_(&quot;$&quot;* &quot;-&quot;??_);_(@_)"/>
    </dxf>
    <dxf>
      <numFmt numFmtId="165" formatCode="_-[$R-1C09]* #,##0.00_-;\-[$R-1C09]* #,##0.00_-;_-[$R-1C09]* &quot;-&quot;??_-;_-@_-"/>
    </dxf>
    <dxf>
      <numFmt numFmtId="165" formatCode="_-[$R-1C09]* #,##0.00_-;\-[$R-1C09]* #,##0.00_-;_-[$R-1C09]* &quot;-&quot;??_-;_-@_-"/>
    </dxf>
    <dxf>
      <numFmt numFmtId="34" formatCode="_(&quot;$&quot;* #,##0.00_);_(&quot;$&quot;* \(#,##0.00\);_(&quot;$&quot;* &quot;-&quot;??_);_(@_)"/>
    </dxf>
    <dxf>
      <numFmt numFmtId="165" formatCode="_-[$R-1C09]* #,##0.00_-;\-[$R-1C09]* #,##0.00_-;_-[$R-1C09]* &quot;-&quot;??_-;_-@_-"/>
    </dxf>
    <dxf>
      <numFmt numFmtId="165" formatCode="_-[$R-1C09]* #,##0.00_-;\-[$R-1C09]* #,##0.00_-;_-[$R-1C09]* &quot;-&quot;??_-;_-@_-"/>
    </dxf>
    <dxf>
      <numFmt numFmtId="34" formatCode="_(&quot;$&quot;* #,##0.00_);_(&quot;$&quot;* \(#,##0.00\);_(&quot;$&quot;* &quot;-&quot;??_);_(@_)"/>
    </dxf>
    <dxf>
      <numFmt numFmtId="165" formatCode="_-[$R-1C09]* #,##0.00_-;\-[$R-1C09]* #,##0.00_-;_-[$R-1C09]* &quot;-&quot;??_-;_-@_-"/>
    </dxf>
    <dxf>
      <numFmt numFmtId="165" formatCode="_-[$R-1C09]* #,##0.00_-;\-[$R-1C09]* #,##0.00_-;_-[$R-1C09]* &quot;-&quot;??_-;_-@_-"/>
    </dxf>
    <dxf>
      <numFmt numFmtId="34" formatCode="_(&quot;$&quot;* #,##0.00_);_(&quot;$&quot;* \(#,##0.00\);_(&quot;$&quot;* &quot;-&quot;??_);_(@_)"/>
    </dxf>
    <dxf>
      <numFmt numFmtId="165" formatCode="_-[$R-1C09]* #,##0.00_-;\-[$R-1C09]* #,##0.00_-;_-[$R-1C09]* &quot;-&quot;??_-;_-@_-"/>
    </dxf>
    <dxf>
      <numFmt numFmtId="165" formatCode="_-[$R-1C09]* #,##0.00_-;\-[$R-1C09]* #,##0.00_-;_-[$R-1C09]* &quot;-&quot;??_-;_-@_-"/>
    </dxf>
    <dxf>
      <numFmt numFmtId="34" formatCode="_(&quot;$&quot;* #,##0.00_);_(&quot;$&quot;* \(#,##0.00\);_(&quot;$&quot;* &quot;-&quot;??_);_(@_)"/>
    </dxf>
    <dxf>
      <numFmt numFmtId="165" formatCode="_-[$R-1C09]* #,##0.00_-;\-[$R-1C09]* #,##0.00_-;_-[$R-1C09]* &quot;-&quot;??_-;_-@_-"/>
    </dxf>
    <dxf>
      <numFmt numFmtId="165" formatCode="_-[$R-1C09]* #,##0.00_-;\-[$R-1C09]* #,##0.00_-;_-[$R-1C09]* &quot;-&quot;??_-;_-@_-"/>
    </dxf>
    <dxf>
      <numFmt numFmtId="34" formatCode="_(&quot;$&quot;* #,##0.00_);_(&quot;$&quot;* \(#,##0.00\);_(&quot;$&quot;* &quot;-&quot;??_);_(@_)"/>
    </dxf>
    <dxf>
      <numFmt numFmtId="165" formatCode="_-[$R-1C09]* #,##0.00_-;\-[$R-1C09]* #,##0.00_-;_-[$R-1C09]* &quot;-&quot;??_-;_-@_-"/>
    </dxf>
    <dxf>
      <numFmt numFmtId="165" formatCode="_-[$R-1C09]* #,##0.00_-;\-[$R-1C09]* #,##0.00_-;_-[$R-1C09]* &quot;-&quot;??_-;_-@_-"/>
    </dxf>
    <dxf>
      <numFmt numFmtId="34" formatCode="_(&quot;$&quot;* #,##0.00_);_(&quot;$&quot;* \(#,##0.00\);_(&quot;$&quot;* &quot;-&quot;??_);_(@_)"/>
    </dxf>
    <dxf>
      <numFmt numFmtId="165" formatCode="_-[$R-1C09]* #,##0.00_-;\-[$R-1C09]* #,##0.00_-;_-[$R-1C09]* &quot;-&quot;??_-;_-@_-"/>
    </dxf>
    <dxf>
      <numFmt numFmtId="165" formatCode="_-[$R-1C09]* #,##0.00_-;\-[$R-1C09]* #,##0.00_-;_-[$R-1C09]* &quot;-&quot;??_-;_-@_-"/>
    </dxf>
    <dxf>
      <numFmt numFmtId="34" formatCode="_(&quot;$&quot;* #,##0.00_);_(&quot;$&quot;* \(#,##0.00\);_(&quot;$&quot;* &quot;-&quot;??_);_(@_)"/>
    </dxf>
    <dxf>
      <numFmt numFmtId="165" formatCode="_-[$R-1C09]* #,##0.00_-;\-[$R-1C09]* #,##0.00_-;_-[$R-1C09]* &quot;-&quot;??_-;_-@_-"/>
    </dxf>
    <dxf>
      <numFmt numFmtId="165" formatCode="_-[$R-1C09]* #,##0.00_-;\-[$R-1C09]* #,##0.00_-;_-[$R-1C09]* &quot;-&quot;??_-;_-@_-"/>
    </dxf>
    <dxf>
      <numFmt numFmtId="34" formatCode="_(&quot;$&quot;* #,##0.00_);_(&quot;$&quot;* \(#,##0.00\);_(&quot;$&quot;* &quot;-&quot;??_);_(@_)"/>
    </dxf>
    <dxf>
      <numFmt numFmtId="165" formatCode="_-[$R-1C09]* #,##0.00_-;\-[$R-1C09]* #,##0.00_-;_-[$R-1C09]* &quot;-&quot;??_-;_-@_-"/>
    </dxf>
    <dxf>
      <numFmt numFmtId="34" formatCode="_(&quot;$&quot;* #,##0.00_);_(&quot;$&quot;* \(#,##0.00\);_(&quot;$&quot;* &quot;-&quot;??_);_(@_)"/>
    </dxf>
    <dxf>
      <numFmt numFmtId="165" formatCode="_-[$R-1C09]* #,##0.00_-;\-[$R-1C09]* #,##0.00_-;_-[$R-1C09]* &quot;-&quot;??_-;_-@_-"/>
    </dxf>
    <dxf>
      <numFmt numFmtId="165" formatCode="_-[$R-1C09]* #,##0.00_-;\-[$R-1C09]* #,##0.00_-;_-[$R-1C09]* &quot;-&quot;??_-;_-@_-"/>
    </dxf>
    <dxf>
      <numFmt numFmtId="34" formatCode="_(&quot;$&quot;* #,##0.00_);_(&quot;$&quot;* \(#,##0.00\);_(&quot;$&quot;* &quot;-&quot;??_);_(@_)"/>
    </dxf>
    <dxf>
      <numFmt numFmtId="165" formatCode="_-[$R-1C09]* #,##0.00_-;\-[$R-1C09]* #,##0.00_-;_-[$R-1C09]* &quot;-&quot;??_-;_-@_-"/>
    </dxf>
    <dxf>
      <numFmt numFmtId="165" formatCode="_-[$R-1C09]* #,##0.00_-;\-[$R-1C09]* #,##0.00_-;_-[$R-1C09]* &quot;-&quot;??_-;_-@_-"/>
    </dxf>
    <dxf>
      <numFmt numFmtId="34" formatCode="_(&quot;$&quot;* #,##0.00_);_(&quot;$&quot;* \(#,##0.00\);_(&quot;$&quot;* &quot;-&quot;??_);_(@_)"/>
    </dxf>
    <dxf>
      <numFmt numFmtId="165" formatCode="_-[$R-1C09]* #,##0.00_-;\-[$R-1C09]* #,##0.00_-;_-[$R-1C09]* &quot;-&quot;??_-;_-@_-"/>
    </dxf>
    <dxf>
      <numFmt numFmtId="165" formatCode="_-[$R-1C09]* #,##0.00_-;\-[$R-1C09]* #,##0.00_-;_-[$R-1C09]* &quot;-&quot;??_-;_-@_-"/>
    </dxf>
    <dxf>
      <numFmt numFmtId="34" formatCode="_(&quot;$&quot;* #,##0.00_);_(&quot;$&quot;* \(#,##0.00\);_(&quot;$&quot;* &quot;-&quot;??_);_(@_)"/>
    </dxf>
    <dxf>
      <numFmt numFmtId="165" formatCode="_-[$R-1C09]* #,##0.00_-;\-[$R-1C09]* #,##0.00_-;_-[$R-1C09]* &quot;-&quot;??_-;_-@_-"/>
    </dxf>
    <dxf>
      <numFmt numFmtId="165" formatCode="_-[$R-1C09]* #,##0.00_-;\-[$R-1C09]* #,##0.00_-;_-[$R-1C09]* &quot;-&quot;??_-;_-@_-"/>
    </dxf>
    <dxf>
      <numFmt numFmtId="165" formatCode="_-[$R-1C09]* #,##0.00_-;\-[$R-1C09]* #,##0.00_-;_-[$R-1C09]*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[Ubuntu_Group_Sales_SA 2.xlsx]Pivot Table!PivotTable1</c:name>
    <c:fmtId val="0"/>
  </c:pivotSource>
  <c:chart>
    <c:autoTitleDeleted val="1"/>
    <c:pivotFmts>
      <c:pivotFmt>
        <c:idx val="0"/>
      </c:pivotFmt>
      <c:pivotFmt>
        <c:idx val="1"/>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pivotFmt>
    </c:pivotFmts>
    <c:plotArea>
      <c:layout/>
      <c:lineChart>
        <c:grouping val="standard"/>
        <c:varyColors val="0"/>
        <c:ser>
          <c:idx val="0"/>
          <c:order val="0"/>
          <c:tx>
            <c:strRef>
              <c:f>'Pivot Table'!$B$3</c:f>
              <c:strCache>
                <c:ptCount val="1"/>
                <c:pt idx="0">
                  <c:v>Total</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cat>
            <c:strRef>
              <c:f>'Pivot Table'!$A$4:$A$15</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 Table'!$B$4:$B$15</c:f>
              <c:numCache>
                <c:formatCode>_-[$R-1C09]* #,##0.00_-;\-[$R-1C09]* #,##0.00_-;_-[$R-1C09]* "-"??_-;_-@_-</c:formatCode>
                <c:ptCount val="11"/>
                <c:pt idx="0">
                  <c:v>3884850</c:v>
                </c:pt>
                <c:pt idx="1">
                  <c:v>5064700</c:v>
                </c:pt>
                <c:pt idx="2">
                  <c:v>4781900</c:v>
                </c:pt>
                <c:pt idx="3">
                  <c:v>1590700</c:v>
                </c:pt>
                <c:pt idx="4">
                  <c:v>1458400</c:v>
                </c:pt>
                <c:pt idx="5">
                  <c:v>2064200</c:v>
                </c:pt>
                <c:pt idx="6">
                  <c:v>4515900</c:v>
                </c:pt>
                <c:pt idx="7">
                  <c:v>6333450</c:v>
                </c:pt>
                <c:pt idx="8">
                  <c:v>4883200</c:v>
                </c:pt>
                <c:pt idx="9">
                  <c:v>5465300</c:v>
                </c:pt>
                <c:pt idx="10">
                  <c:v>3899900</c:v>
                </c:pt>
              </c:numCache>
            </c:numRef>
          </c:val>
          <c:smooth val="0"/>
          <c:extLst>
            <c:ext xmlns:c16="http://schemas.microsoft.com/office/drawing/2014/chart" uri="{C3380CC4-5D6E-409C-BE32-E72D297353CC}">
              <c16:uniqueId val="{00000000-E535-41FB-BDD5-95D67F71292D}"/>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31413087"/>
        <c:axId val="631411423"/>
      </c:lineChart>
      <c:catAx>
        <c:axId val="63141308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31411423"/>
        <c:crosses val="autoZero"/>
        <c:auto val="1"/>
        <c:lblAlgn val="ctr"/>
        <c:lblOffset val="100"/>
        <c:noMultiLvlLbl val="0"/>
      </c:catAx>
      <c:valAx>
        <c:axId val="631411423"/>
        <c:scaling>
          <c:orientation val="minMax"/>
        </c:scaling>
        <c:delete val="0"/>
        <c:axPos val="l"/>
        <c:numFmt formatCode="_-[$R-1C09]* #,##0.00_-;\-[$R-1C09]* #,##0.00_-;_-[$R-1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31413087"/>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size">
        <cx:f>_xlchart.1</cx:f>
      </cx:numDim>
    </cx:data>
  </cx:chartData>
  <cx:chart>
    <cx:plotArea>
      <cx:plotAreaRegion>
        <cx:series layoutId="treemap" uniqueId="{EF916BB7-FCF1-4239-A7F0-80288DDDEB3D}">
          <cx:dataLabels pos="ctr">
            <cx:txPr>
              <a:bodyPr spcFirstLastPara="1" vertOverflow="ellipsis" wrap="square" lIns="0" tIns="0" rIns="0" bIns="0" anchor="ctr" anchorCtr="1">
                <a:spAutoFit/>
              </a:bodyPr>
              <a:lstStyle/>
              <a:p>
                <a:pPr>
                  <a:defRPr/>
                </a:pPr>
                <a:endParaRPr lang="en-US"/>
              </a:p>
            </cx:txPr>
            <cx:visibility seriesName="0" categoryName="1" value="0"/>
          </cx:dataLabels>
          <cx:dataId val="0"/>
          <cx:layoutPr>
            <cx:parentLabelLayout val="overlapping"/>
          </cx:layoutPr>
        </cx:series>
      </cx:plotAreaRegion>
    </cx:plotArea>
  </cx:chart>
  <cx:clrMapOvr bg1="lt1" tx1="dk1" bg2="lt2" tx2="dk2" accent1="accent1" accent2="accent2" accent3="accent3" accent4="accent4" accent5="accent5" accent6="accent6" hlink="hlink" folHlink="folHlink"/>
</cx: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[Ubuntu_Group_Sales_SA 2.xlsx]Pivot Table!PivotTable3</c:name>
    <c:fmtId val="0"/>
  </c:pivotSource>
  <c:chart>
    <c:autoTitleDeleted val="1"/>
    <c:pivotFmts>
      <c:pivotFmt>
        <c:idx val="0"/>
      </c:pivotFmt>
      <c:pivotFmt>
        <c:idx val="1"/>
      </c:pivotFmt>
      <c:pivotFmt>
        <c:idx val="2"/>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'Pivot Table'!$B$41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Table'!$A$42:$A$52</c:f>
              <c:strCache>
                <c:ptCount val="10"/>
                <c:pt idx="0">
                  <c:v>Mr Price Sport</c:v>
                </c:pt>
                <c:pt idx="1">
                  <c:v>Makro</c:v>
                </c:pt>
                <c:pt idx="2">
                  <c:v>Checkers</c:v>
                </c:pt>
                <c:pt idx="3">
                  <c:v>Pick n Pay</c:v>
                </c:pt>
                <c:pt idx="4">
                  <c:v>Game Stores</c:v>
                </c:pt>
                <c:pt idx="5">
                  <c:v>Sportscene</c:v>
                </c:pt>
                <c:pt idx="6">
                  <c:v>SuperSport</c:v>
                </c:pt>
                <c:pt idx="7">
                  <c:v>Woolworths</c:v>
                </c:pt>
                <c:pt idx="8">
                  <c:v>Takealot</c:v>
                </c:pt>
                <c:pt idx="9">
                  <c:v>Ubuntu Group</c:v>
                </c:pt>
              </c:strCache>
            </c:strRef>
          </c:cat>
          <c:val>
            <c:numRef>
              <c:f>'Pivot Table'!$B$42:$B$52</c:f>
              <c:numCache>
                <c:formatCode>General</c:formatCode>
                <c:ptCount val="10"/>
                <c:pt idx="0">
                  <c:v>1073350</c:v>
                </c:pt>
                <c:pt idx="1">
                  <c:v>1266450</c:v>
                </c:pt>
                <c:pt idx="2">
                  <c:v>1882900</c:v>
                </c:pt>
                <c:pt idx="3">
                  <c:v>1899400</c:v>
                </c:pt>
                <c:pt idx="4">
                  <c:v>2283400</c:v>
                </c:pt>
                <c:pt idx="5">
                  <c:v>2397300</c:v>
                </c:pt>
                <c:pt idx="6">
                  <c:v>3855400</c:v>
                </c:pt>
                <c:pt idx="7">
                  <c:v>7776500</c:v>
                </c:pt>
                <c:pt idx="8">
                  <c:v>10235000</c:v>
                </c:pt>
                <c:pt idx="9">
                  <c:v>11272800</c:v>
                </c:pt>
              </c:numCache>
            </c:numRef>
          </c:val>
          <c:extLst>
            <c:ext xmlns:c16="http://schemas.microsoft.com/office/drawing/2014/chart" uri="{C3380CC4-5D6E-409C-BE32-E72D297353CC}">
              <c16:uniqueId val="{00000000-E67F-417F-BB0B-349A3384E220}"/>
            </c:ext>
          </c:extLst>
        </c:ser>
        <c:dLbls>
          <c:showLegendKey val="0"/>
          <c:showVal val="0"/>
          <c:showCatName val="0"/>
          <c:showSerName val="0"/>
          <c:showPercent val="0"/>
          <c:showBubbleSize val="0"/>
        </c:dLbls>
        <c:gapWidth val="115"/>
        <c:overlap val="-20"/>
        <c:axId val="1755003440"/>
        <c:axId val="1754999280"/>
      </c:barChart>
      <c:catAx>
        <c:axId val="175500344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999280"/>
        <c:crosses val="autoZero"/>
        <c:auto val="1"/>
        <c:lblAlgn val="ctr"/>
        <c:lblOffset val="100"/>
        <c:noMultiLvlLbl val="0"/>
      </c:catAx>
      <c:valAx>
        <c:axId val="1754999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003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x:chartSpace xmlns:a="http://schemas.openxmlformats.org/drawingml/2006/main" xmlns:r="http://schemas.openxmlformats.org/officeDocument/2006/relationships" xmlns:cx="http://schemas.microsoft.com/office/drawing/2014/chartex">
  <cx:chartData>
    <cx:data id="0">
      <cx:strDim type="cat">
        <cx:f>_xlchart.4</cx:f>
      </cx:strDim>
      <cx:numDim type="size">
        <cx:f>_xlchart.5</cx:f>
      </cx:numDim>
    </cx:data>
  </cx:chartData>
  <cx:chart>
    <cx:plotArea>
      <cx:plotAreaRegion>
        <cx:series layoutId="treemap" uniqueId="{264DE820-4549-40B9-8957-87C815335D01}">
          <cx:dataLabels pos="inEnd">
            <cx:visibility seriesName="0" categoryName="1" value="0"/>
          </cx:dataLabels>
          <cx:dataId val="0"/>
          <cx:layoutPr>
            <cx:parentLabelLayout val="overlapping"/>
          </cx:layoutPr>
        </cx:series>
      </cx:plotAreaRegion>
    </cx:plotArea>
  </cx:chart>
  <cx:clrMapOvr bg1="lt1" tx1="dk1" bg2="lt2" tx2="dk2" accent1="accent1" accent2="accent2" accent3="accent3" accent4="accent4" accent5="accent5" accent6="accent6" hlink="hlink" folHlink="folHlink"/>
</cx: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[Ubuntu_Group_Sales_SA 2.xlsx]Pivot Table!PivotTable4</c:name>
    <c:fmtId val="1"/>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6">
              <a:lumMod val="75000"/>
            </a:schemeClr>
          </a:solidFill>
          <a:ln w="19050">
            <a:solidFill>
              <a:schemeClr val="lt1"/>
            </a:solidFill>
          </a:ln>
          <a:effectLst/>
        </c:spPr>
      </c:pivotFmt>
      <c:pivotFmt>
        <c:idx val="2"/>
        <c:spPr>
          <a:solidFill>
            <a:schemeClr val="accent2">
              <a:lumMod val="75000"/>
            </a:schemeClr>
          </a:solidFill>
          <a:ln w="19050">
            <a:solidFill>
              <a:schemeClr val="lt1"/>
            </a:solidFill>
          </a:ln>
          <a:effectLst/>
        </c:spPr>
      </c:pivotFmt>
      <c:pivotFmt>
        <c:idx val="3"/>
        <c:spPr>
          <a:solidFill>
            <a:schemeClr val="accent1">
              <a:lumMod val="75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s>
    <c:plotArea>
      <c:layout/>
      <c:doughnutChart>
        <c:varyColors val="1"/>
        <c:ser>
          <c:idx val="0"/>
          <c:order val="0"/>
          <c:tx>
            <c:strRef>
              <c:f>'Pivot Table'!$B$59</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9-BFD3-402F-A5CF-32FCA61CBDF9}"/>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20-BFD3-402F-A5CF-32FCA61CBDF9}"/>
              </c:ext>
            </c:extLst>
          </c:dPt>
          <c:dPt>
            <c:idx val="2"/>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2A-BFD3-402F-A5CF-32FCA61CBDF9}"/>
              </c:ext>
            </c:extLst>
          </c:dPt>
          <c:cat>
            <c:strRef>
              <c:f>'Pivot Table'!$A$60:$A$63</c:f>
              <c:strCache>
                <c:ptCount val="3"/>
                <c:pt idx="0">
                  <c:v>In-store</c:v>
                </c:pt>
                <c:pt idx="1">
                  <c:v>Online</c:v>
                </c:pt>
                <c:pt idx="2">
                  <c:v>Outlet</c:v>
                </c:pt>
              </c:strCache>
            </c:strRef>
          </c:cat>
          <c:val>
            <c:numRef>
              <c:f>'Pivot Table'!$B$60:$B$63</c:f>
              <c:numCache>
                <c:formatCode>General</c:formatCode>
                <c:ptCount val="3"/>
                <c:pt idx="0">
                  <c:v>12898350</c:v>
                </c:pt>
                <c:pt idx="1">
                  <c:v>13207750</c:v>
                </c:pt>
                <c:pt idx="2">
                  <c:v>17836400</c:v>
                </c:pt>
              </c:numCache>
            </c:numRef>
          </c:val>
          <c:extLst>
            <c:ext xmlns:c16="http://schemas.microsoft.com/office/drawing/2014/chart" uri="{C3380CC4-5D6E-409C-BE32-E72D297353CC}">
              <c16:uniqueId val="{00000000-BFD3-402F-A5CF-32FCA61CBDF9}"/>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[Ubuntu_Group_Sales_SA 2.xlsx]Pivot Table!PivotTable1</c:name>
    <c:fmtId val="3"/>
  </c:pivotSource>
  <c:chart>
    <c:autoTitleDeleted val="1"/>
    <c:pivotFmts>
      <c:pivotFmt>
        <c:idx val="0"/>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pivotFmt>
      <c:pivotFmt>
        <c:idx val="3"/>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pivotFmt>
      <c:pivotFmt>
        <c:idx val="6"/>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marker>
          <c:symbol val="none"/>
        </c:marker>
      </c:pivotFmt>
    </c:pivotFmts>
    <c:plotArea>
      <c:layout/>
      <c:barChart>
        <c:barDir val="col"/>
        <c:grouping val="clustered"/>
        <c:varyColors val="0"/>
        <c:ser>
          <c:idx val="0"/>
          <c:order val="0"/>
          <c:tx>
            <c:strRef>
              <c:f>'Pivot Table'!$B$3</c:f>
              <c:strCache>
                <c:ptCount val="1"/>
                <c:pt idx="0">
                  <c:v>Total</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cat>
            <c:strRef>
              <c:f>'Pivot Table'!$A$4:$A$15</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'Pivot Table'!$B$4:$B$15</c:f>
              <c:numCache>
                <c:formatCode>_-[$R-1C09]* #,##0.00_-;\-[$R-1C09]* #,##0.00_-;_-[$R-1C09]* "-"??_-;_-@_-</c:formatCode>
                <c:ptCount val="11"/>
                <c:pt idx="0">
                  <c:v>3884850</c:v>
                </c:pt>
                <c:pt idx="1">
                  <c:v>5064700</c:v>
                </c:pt>
                <c:pt idx="2">
                  <c:v>4781900</c:v>
                </c:pt>
                <c:pt idx="3">
                  <c:v>1590700</c:v>
                </c:pt>
                <c:pt idx="4">
                  <c:v>1458400</c:v>
                </c:pt>
                <c:pt idx="5">
                  <c:v>2064200</c:v>
                </c:pt>
                <c:pt idx="6">
                  <c:v>4515900</c:v>
                </c:pt>
                <c:pt idx="7">
                  <c:v>6333450</c:v>
                </c:pt>
                <c:pt idx="8">
                  <c:v>4883200</c:v>
                </c:pt>
                <c:pt idx="9">
                  <c:v>5465300</c:v>
                </c:pt>
                <c:pt idx="10">
                  <c:v>3899900</c:v>
                </c:pt>
              </c:numCache>
            </c:numRef>
          </c:val>
          <c:extLst>
            <c:ext xmlns:c16="http://schemas.microsoft.com/office/drawing/2014/chart" uri="{C3380CC4-5D6E-409C-BE32-E72D297353CC}">
              <c16:uniqueId val="{00000000-6C79-429F-8FAD-F261396EC5E2}"/>
            </c:ext>
          </c:extLst>
        </c:ser>
        <c:dLbls>
          <c:showLegendKey val="0"/>
          <c:showVal val="0"/>
          <c:showCatName val="0"/>
          <c:showSerName val="0"/>
          <c:showPercent val="0"/>
          <c:showBubbleSize val="0"/>
        </c:dLbls>
        <c:gapWidth val="150"/>
        <c:axId val="631413087"/>
        <c:axId val="631411423"/>
      </c:barChart>
      <c:catAx>
        <c:axId val="63141308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31411423"/>
        <c:crosses val="autoZero"/>
        <c:auto val="1"/>
        <c:lblAlgn val="ctr"/>
        <c:lblOffset val="100"/>
        <c:noMultiLvlLbl val="0"/>
      </c:catAx>
      <c:valAx>
        <c:axId val="631411423"/>
        <c:scaling>
          <c:orientation val="minMax"/>
        </c:scaling>
        <c:delete val="0"/>
        <c:axPos val="l"/>
        <c:numFmt formatCode="_-[$R-1C09]* #,##0.00_-;\-[$R-1C09]* #,##0.00_-;_-[$R-1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31413087"/>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x:chartSpace xmlns:a="http://schemas.openxmlformats.org/drawingml/2006/main" xmlns:r="http://schemas.openxmlformats.org/officeDocument/2006/relationships" xmlns:cx="http://schemas.microsoft.com/office/drawing/2014/chartex">
  <cx:chartData>
    <cx:data id="0">
      <cx:strDim type="cat">
        <cx:f>_xlchart.6</cx:f>
      </cx:strDim>
      <cx:numDim type="size">
        <cx:f>_xlchart.7</cx:f>
      </cx:numDim>
    </cx:data>
  </cx:chartData>
  <cx:chart>
    <cx:plotArea>
      <cx:plotAreaRegion>
        <cx:series layoutId="treemap" uniqueId="{264DE820-4549-40B9-8957-87C815335D01}">
          <cx:spPr>
            <a:ln>
              <a:noFill/>
            </a:ln>
          </cx:spPr>
          <cx:dataLabels pos="inEnd">
            <cx:spPr>
              <a:ln>
                <a:noFill/>
              </a:ln>
            </cx:spPr>
            <cx:visibility seriesName="0" categoryName="1" value="0"/>
          </cx:dataLabels>
          <cx:dataId val="0"/>
          <cx:layoutPr>
            <cx:parentLabelLayout val="overlapping"/>
          </cx:layoutPr>
        </cx:series>
      </cx:plotAreaRegion>
    </cx:plotArea>
  </cx:chart>
  <cx:spPr>
    <a:ln>
      <a:noFill/>
    </a:ln>
  </cx:spPr>
  <cx:clrMapOvr bg1="lt1" tx1="dk1" bg2="lt2" tx2="dk2" accent1="accent1" accent2="accent2" accent3="accent3" accent4="accent4" accent5="accent5" accent6="accent6" hlink="hlink" folHlink="folHlink"/>
</cx: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[Ubuntu_Group_Sales_SA 2.xlsx]Pivot Table!PivotTable4</c:name>
    <c:fmtId val="6"/>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6">
              <a:lumMod val="75000"/>
            </a:schemeClr>
          </a:solidFill>
          <a:ln w="19050">
            <a:solidFill>
              <a:schemeClr val="lt1"/>
            </a:solidFill>
          </a:ln>
          <a:effectLst/>
        </c:spPr>
      </c:pivotFmt>
      <c:pivotFmt>
        <c:idx val="2"/>
        <c:spPr>
          <a:solidFill>
            <a:schemeClr val="accent2">
              <a:lumMod val="75000"/>
            </a:schemeClr>
          </a:solidFill>
          <a:ln w="19050">
            <a:solidFill>
              <a:schemeClr val="lt1"/>
            </a:solidFill>
          </a:ln>
          <a:effectLst/>
        </c:spPr>
      </c:pivotFmt>
      <c:pivotFmt>
        <c:idx val="3"/>
        <c:spPr>
          <a:solidFill>
            <a:schemeClr val="accent1">
              <a:lumMod val="75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6">
              <a:lumMod val="75000"/>
            </a:schemeClr>
          </a:solidFill>
          <a:ln w="19050">
            <a:solidFill>
              <a:schemeClr val="lt1"/>
            </a:solidFill>
          </a:ln>
          <a:effectLst/>
        </c:spPr>
      </c:pivotFmt>
      <c:pivotFmt>
        <c:idx val="6"/>
        <c:spPr>
          <a:solidFill>
            <a:schemeClr val="accent2">
              <a:lumMod val="75000"/>
            </a:schemeClr>
          </a:solidFill>
          <a:ln w="19050">
            <a:solidFill>
              <a:schemeClr val="lt1"/>
            </a:solidFill>
          </a:ln>
          <a:effectLst/>
        </c:spPr>
      </c:pivotFmt>
      <c:pivotFmt>
        <c:idx val="7"/>
        <c:spPr>
          <a:solidFill>
            <a:schemeClr val="accent1">
              <a:lumMod val="75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accent6">
              <a:lumMod val="75000"/>
            </a:schemeClr>
          </a:solidFill>
          <a:ln w="19050">
            <a:solidFill>
              <a:schemeClr val="lt1"/>
            </a:solidFill>
          </a:ln>
          <a:effectLst/>
        </c:spPr>
      </c:pivotFmt>
      <c:pivotFmt>
        <c:idx val="10"/>
        <c:spPr>
          <a:solidFill>
            <a:schemeClr val="accent2">
              <a:lumMod val="75000"/>
            </a:schemeClr>
          </a:solidFill>
          <a:ln w="19050">
            <a:solidFill>
              <a:schemeClr val="lt1"/>
            </a:solidFill>
          </a:ln>
          <a:effectLst/>
        </c:spPr>
      </c:pivotFmt>
      <c:pivotFmt>
        <c:idx val="11"/>
        <c:spPr>
          <a:solidFill>
            <a:schemeClr val="accent1">
              <a:lumMod val="75000"/>
            </a:schemeClr>
          </a:solidFill>
          <a:ln w="19050">
            <a:solidFill>
              <a:schemeClr val="lt1"/>
            </a:solidFill>
          </a:ln>
          <a:effectLst/>
        </c:spPr>
      </c:pivotFmt>
    </c:pivotFmts>
    <c:plotArea>
      <c:layout/>
      <c:doughnutChart>
        <c:varyColors val="1"/>
        <c:ser>
          <c:idx val="0"/>
          <c:order val="0"/>
          <c:tx>
            <c:strRef>
              <c:f>'Pivot Table'!$B$59</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0A1E-4042-9D3A-81DAB387859B}"/>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0A1E-4042-9D3A-81DAB387859B}"/>
              </c:ext>
            </c:extLst>
          </c:dPt>
          <c:dPt>
            <c:idx val="2"/>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5-0A1E-4042-9D3A-81DAB387859B}"/>
              </c:ext>
            </c:extLst>
          </c:dPt>
          <c:cat>
            <c:strRef>
              <c:f>'Pivot Table'!$A$60:$A$63</c:f>
              <c:strCache>
                <c:ptCount val="3"/>
                <c:pt idx="0">
                  <c:v>In-store</c:v>
                </c:pt>
                <c:pt idx="1">
                  <c:v>Online</c:v>
                </c:pt>
                <c:pt idx="2">
                  <c:v>Outlet</c:v>
                </c:pt>
              </c:strCache>
            </c:strRef>
          </c:cat>
          <c:val>
            <c:numRef>
              <c:f>'Pivot Table'!$B$60:$B$63</c:f>
              <c:numCache>
                <c:formatCode>General</c:formatCode>
                <c:ptCount val="3"/>
                <c:pt idx="0">
                  <c:v>12898350</c:v>
                </c:pt>
                <c:pt idx="1">
                  <c:v>13207750</c:v>
                </c:pt>
                <c:pt idx="2">
                  <c:v>17836400</c:v>
                </c:pt>
              </c:numCache>
            </c:numRef>
          </c:val>
          <c:extLst>
            <c:ext xmlns:c16="http://schemas.microsoft.com/office/drawing/2014/chart" uri="{C3380CC4-5D6E-409C-BE32-E72D297353CC}">
              <c16:uniqueId val="{00000006-0A1E-4042-9D3A-81DAB387859B}"/>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75386930463574608"/>
          <c:y val="0.35681714322873292"/>
          <c:w val="0.13281861567670039"/>
          <c:h val="0.286365713542534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[Ubuntu_Group_Sales_SA 2.xlsx]Pivot Table!PivotTable3</c:name>
    <c:fmtId val="3"/>
  </c:pivotSource>
  <c:chart>
    <c:autoTitleDeleted val="1"/>
    <c:pivotFmts>
      <c:pivotFmt>
        <c:idx val="0"/>
      </c:pivotFmt>
      <c:pivotFmt>
        <c:idx val="1"/>
      </c:pivotFmt>
      <c:pivotFmt>
        <c:idx val="2"/>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'Pivot Table'!$B$41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Table'!$A$42:$A$52</c:f>
              <c:strCache>
                <c:ptCount val="10"/>
                <c:pt idx="0">
                  <c:v>Mr Price Sport</c:v>
                </c:pt>
                <c:pt idx="1">
                  <c:v>Makro</c:v>
                </c:pt>
                <c:pt idx="2">
                  <c:v>Checkers</c:v>
                </c:pt>
                <c:pt idx="3">
                  <c:v>Pick n Pay</c:v>
                </c:pt>
                <c:pt idx="4">
                  <c:v>Game Stores</c:v>
                </c:pt>
                <c:pt idx="5">
                  <c:v>Sportscene</c:v>
                </c:pt>
                <c:pt idx="6">
                  <c:v>SuperSport</c:v>
                </c:pt>
                <c:pt idx="7">
                  <c:v>Woolworths</c:v>
                </c:pt>
                <c:pt idx="8">
                  <c:v>Takealot</c:v>
                </c:pt>
                <c:pt idx="9">
                  <c:v>Ubuntu Group</c:v>
                </c:pt>
              </c:strCache>
            </c:strRef>
          </c:cat>
          <c:val>
            <c:numRef>
              <c:f>'Pivot Table'!$B$42:$B$52</c:f>
              <c:numCache>
                <c:formatCode>General</c:formatCode>
                <c:ptCount val="10"/>
                <c:pt idx="0">
                  <c:v>1073350</c:v>
                </c:pt>
                <c:pt idx="1">
                  <c:v>1266450</c:v>
                </c:pt>
                <c:pt idx="2">
                  <c:v>1882900</c:v>
                </c:pt>
                <c:pt idx="3">
                  <c:v>1899400</c:v>
                </c:pt>
                <c:pt idx="4">
                  <c:v>2283400</c:v>
                </c:pt>
                <c:pt idx="5">
                  <c:v>2397300</c:v>
                </c:pt>
                <c:pt idx="6">
                  <c:v>3855400</c:v>
                </c:pt>
                <c:pt idx="7">
                  <c:v>7776500</c:v>
                </c:pt>
                <c:pt idx="8">
                  <c:v>10235000</c:v>
                </c:pt>
                <c:pt idx="9">
                  <c:v>11272800</c:v>
                </c:pt>
              </c:numCache>
            </c:numRef>
          </c:val>
          <c:extLst>
            <c:ext xmlns:c16="http://schemas.microsoft.com/office/drawing/2014/chart" uri="{C3380CC4-5D6E-409C-BE32-E72D297353CC}">
              <c16:uniqueId val="{00000000-B253-4F60-83D6-691406FA10A0}"/>
            </c:ext>
          </c:extLst>
        </c:ser>
        <c:dLbls>
          <c:showLegendKey val="0"/>
          <c:showVal val="0"/>
          <c:showCatName val="0"/>
          <c:showSerName val="0"/>
          <c:showPercent val="0"/>
          <c:showBubbleSize val="0"/>
        </c:dLbls>
        <c:gapWidth val="115"/>
        <c:overlap val="-20"/>
        <c:axId val="1755003440"/>
        <c:axId val="1754999280"/>
      </c:barChart>
      <c:catAx>
        <c:axId val="175500344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999280"/>
        <c:crosses val="autoZero"/>
        <c:auto val="1"/>
        <c:lblAlgn val="ctr"/>
        <c:lblOffset val="100"/>
        <c:noMultiLvlLbl val="0"/>
      </c:catAx>
      <c:valAx>
        <c:axId val="1754999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0034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11">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1000" b="1" i="0" u="none" strike="noStrike" kern="1200" baseline="0"/>
    <cs:bodyPr lIns="38100" tIns="19050" rIns="38100" bIns="19050">
      <a:spAutoFit/>
    </cs:bodyPr>
  </cs:dataLabel>
  <cs:dataLabelCallout>
    <cs:lnRef idx="0"/>
    <cs:fillRef idx="0"/>
    <cs:effectRef idx="0"/>
    <cs:fontRef idx="minor">
      <a:schemeClr val="dk1">
        <a:lumMod val="75000"/>
        <a:lumOff val="25000"/>
      </a:schemeClr>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bg1"/>
        </a:solidFill>
      </a:ln>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dropLine>
  <cs:errorBar>
    <cs:lnRef idx="0"/>
    <cs:fillRef idx="0"/>
    <cs:effectRef idx="0"/>
    <cs:fontRef idx="minor">
      <a:schemeClr val="dk1"/>
    </cs:fontRef>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hiLoLine>
  <cs:leaderLine>
    <cs:lnRef idx="0"/>
    <cs:fillRef idx="0"/>
    <cs:effectRef idx="0"/>
    <cs:fontRef idx="minor">
      <a:schemeClr val="dk1"/>
    </cs:fontRef>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415">
  <cs:axisTitle>
    <cs:lnRef idx="0"/>
    <cs:fillRef idx="0"/>
    <cs:effectRef idx="0"/>
    <cs:fontRef idx="minor">
      <a:schemeClr val="tx1">
        <a:lumMod val="65000"/>
        <a:lumOff val="3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lt1">
        <a:lumMod val="95000"/>
      </a:schemeClr>
    </cs:fontRef>
    <cs:spPr>
      <a:solidFill>
        <a:schemeClr val="lt1"/>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lt1">
        <a:lumMod val="9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lt1">
        <a:lumMod val="9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jpeg"/><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14286</xdr:colOff>
      <xdr:row>1</xdr:row>
      <xdr:rowOff>180975</xdr:rowOff>
    </xdr:from>
    <xdr:to>
      <xdr:col>14</xdr:col>
      <xdr:colOff>133350</xdr:colOff>
      <xdr:row>16</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21</xdr:row>
      <xdr:rowOff>0</xdr:rowOff>
    </xdr:from>
    <xdr:to>
      <xdr:col>13</xdr:col>
      <xdr:colOff>304800</xdr:colOff>
      <xdr:row>35</xdr:row>
      <xdr:rowOff>76200</xdr:rowOff>
    </xdr:to>
    <mc:AlternateContent xmlns:mc="http://schemas.openxmlformats.org/markup-compatibility/2006">
      <mc:Choice xmlns:cx="http://schemas.microsoft.com/office/drawing/2014/chartex" Requires="cx">
        <xdr:graphicFrame macro="">
          <xdr:nvGraphicFramePr>
            <xdr:cNvPr id="3" name="Chart 2"/>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2"/>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4762</xdr:colOff>
      <xdr:row>38</xdr:row>
      <xdr:rowOff>190499</xdr:rowOff>
    </xdr:from>
    <xdr:to>
      <xdr:col>11</xdr:col>
      <xdr:colOff>0</xdr:colOff>
      <xdr:row>53</xdr:row>
      <xdr:rowOff>180974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19050</xdr:colOff>
      <xdr:row>20</xdr:row>
      <xdr:rowOff>133350</xdr:rowOff>
    </xdr:from>
    <xdr:to>
      <xdr:col>21</xdr:col>
      <xdr:colOff>323850</xdr:colOff>
      <xdr:row>35</xdr:row>
      <xdr:rowOff>19050</xdr:rowOff>
    </xdr:to>
    <mc:AlternateContent xmlns:mc="http://schemas.openxmlformats.org/markup-compatibility/2006">
      <mc:Choice xmlns:cx="http://schemas.microsoft.com/office/drawing/2014/chartex" Requires="cx">
        <xdr:graphicFrame macro="">
          <xdr:nvGraphicFramePr>
            <xdr:cNvPr id="7" name="Chart 6"/>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4"/>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33337</xdr:colOff>
      <xdr:row>56</xdr:row>
      <xdr:rowOff>9525</xdr:rowOff>
    </xdr:from>
    <xdr:to>
      <xdr:col>10</xdr:col>
      <xdr:colOff>528637</xdr:colOff>
      <xdr:row>70</xdr:row>
      <xdr:rowOff>85725</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3</xdr:col>
      <xdr:colOff>54119</xdr:colOff>
      <xdr:row>0</xdr:row>
      <xdr:rowOff>119062</xdr:rowOff>
    </xdr:from>
    <xdr:ext cx="8236960" cy="655885"/>
    <xdr:sp macro="" textlink="">
      <xdr:nvSpPr>
        <xdr:cNvPr id="2" name="TextBox 1"/>
        <xdr:cNvSpPr txBox="1"/>
      </xdr:nvSpPr>
      <xdr:spPr>
        <a:xfrm>
          <a:off x="1872528" y="119062"/>
          <a:ext cx="8236960"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ZA" sz="3600" b="1">
              <a:solidFill>
                <a:schemeClr val="bg1"/>
              </a:solidFill>
            </a:rPr>
            <a:t>Ubuntu SA Interactive Sales Dashboard</a:t>
          </a:r>
        </a:p>
      </xdr:txBody>
    </xdr:sp>
    <xdr:clientData/>
  </xdr:oneCellAnchor>
  <xdr:twoCellAnchor editAs="oneCell">
    <xdr:from>
      <xdr:col>0</xdr:col>
      <xdr:colOff>432956</xdr:colOff>
      <xdr:row>0</xdr:row>
      <xdr:rowOff>162358</xdr:rowOff>
    </xdr:from>
    <xdr:to>
      <xdr:col>2</xdr:col>
      <xdr:colOff>129886</xdr:colOff>
      <xdr:row>3</xdr:row>
      <xdr:rowOff>184005</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2956" y="162358"/>
          <a:ext cx="909203" cy="606136"/>
        </a:xfrm>
        <a:prstGeom prst="rect">
          <a:avLst/>
        </a:prstGeom>
      </xdr:spPr>
    </xdr:pic>
    <xdr:clientData/>
  </xdr:twoCellAnchor>
  <xdr:twoCellAnchor>
    <xdr:from>
      <xdr:col>2</xdr:col>
      <xdr:colOff>508721</xdr:colOff>
      <xdr:row>0</xdr:row>
      <xdr:rowOff>54119</xdr:rowOff>
    </xdr:from>
    <xdr:to>
      <xdr:col>2</xdr:col>
      <xdr:colOff>508721</xdr:colOff>
      <xdr:row>4</xdr:row>
      <xdr:rowOff>86591</xdr:rowOff>
    </xdr:to>
    <xdr:cxnSp macro="">
      <xdr:nvCxnSpPr>
        <xdr:cNvPr id="7" name="Straight Connector 6"/>
        <xdr:cNvCxnSpPr/>
      </xdr:nvCxnSpPr>
      <xdr:spPr>
        <a:xfrm>
          <a:off x="1720994" y="54119"/>
          <a:ext cx="0" cy="811790"/>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50800</xdr:colOff>
      <xdr:row>10</xdr:row>
      <xdr:rowOff>83962</xdr:rowOff>
    </xdr:from>
    <xdr:to>
      <xdr:col>6</xdr:col>
      <xdr:colOff>304800</xdr:colOff>
      <xdr:row>36</xdr:row>
      <xdr:rowOff>104180</xdr:rowOff>
    </xdr:to>
    <xdr:sp macro="" textlink="">
      <xdr:nvSpPr>
        <xdr:cNvPr id="8" name="Rounded Rectangle 7"/>
        <xdr:cNvSpPr/>
      </xdr:nvSpPr>
      <xdr:spPr>
        <a:xfrm>
          <a:off x="50800" y="2018728"/>
          <a:ext cx="3915172" cy="5050608"/>
        </a:xfrm>
        <a:prstGeom prst="roundRect">
          <a:avLst>
            <a:gd name="adj" fmla="val 6783"/>
          </a:avLst>
        </a:prstGeom>
        <a:solidFill>
          <a:schemeClr val="bg1"/>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800" b="1">
              <a:solidFill>
                <a:sysClr val="windowText" lastClr="000000"/>
              </a:solidFill>
            </a:rPr>
            <a:t>Settings</a:t>
          </a:r>
        </a:p>
      </xdr:txBody>
    </xdr:sp>
    <xdr:clientData/>
  </xdr:twoCellAnchor>
  <xdr:twoCellAnchor>
    <xdr:from>
      <xdr:col>6</xdr:col>
      <xdr:colOff>381001</xdr:colOff>
      <xdr:row>5</xdr:row>
      <xdr:rowOff>63500</xdr:rowOff>
    </xdr:from>
    <xdr:to>
      <xdr:col>21</xdr:col>
      <xdr:colOff>368301</xdr:colOff>
      <xdr:row>21</xdr:row>
      <xdr:rowOff>68036</xdr:rowOff>
    </xdr:to>
    <xdr:sp macro="" textlink="">
      <xdr:nvSpPr>
        <xdr:cNvPr id="9" name="Rounded Rectangle 8"/>
        <xdr:cNvSpPr/>
      </xdr:nvSpPr>
      <xdr:spPr>
        <a:xfrm>
          <a:off x="4054930" y="1016000"/>
          <a:ext cx="9172121" cy="3052536"/>
        </a:xfrm>
        <a:prstGeom prst="roundRect">
          <a:avLst>
            <a:gd name="adj" fmla="val 6783"/>
          </a:avLst>
        </a:prstGeom>
        <a:solidFill>
          <a:schemeClr val="bg1"/>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800" b="1">
              <a:solidFill>
                <a:sysClr val="windowText" lastClr="000000"/>
              </a:solidFill>
            </a:rPr>
            <a:t>Sales in Rands</a:t>
          </a:r>
        </a:p>
      </xdr:txBody>
    </xdr:sp>
    <xdr:clientData/>
  </xdr:twoCellAnchor>
  <xdr:twoCellAnchor>
    <xdr:from>
      <xdr:col>6</xdr:col>
      <xdr:colOff>381000</xdr:colOff>
      <xdr:row>21</xdr:row>
      <xdr:rowOff>151493</xdr:rowOff>
    </xdr:from>
    <xdr:to>
      <xdr:col>14</xdr:col>
      <xdr:colOff>12700</xdr:colOff>
      <xdr:row>36</xdr:row>
      <xdr:rowOff>75293</xdr:rowOff>
    </xdr:to>
    <xdr:sp macro="" textlink="">
      <xdr:nvSpPr>
        <xdr:cNvPr id="10" name="Rounded Rectangle 9"/>
        <xdr:cNvSpPr/>
      </xdr:nvSpPr>
      <xdr:spPr>
        <a:xfrm>
          <a:off x="4054929" y="4151993"/>
          <a:ext cx="4530271" cy="2781300"/>
        </a:xfrm>
        <a:prstGeom prst="roundRect">
          <a:avLst>
            <a:gd name="adj" fmla="val 6783"/>
          </a:avLst>
        </a:prstGeom>
        <a:solidFill>
          <a:schemeClr val="bg1"/>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800" b="1">
              <a:solidFill>
                <a:sysClr val="windowText" lastClr="000000"/>
              </a:solidFill>
            </a:rPr>
            <a:t>Sales</a:t>
          </a:r>
          <a:r>
            <a:rPr lang="en-ZA" sz="1800" b="1" baseline="0">
              <a:solidFill>
                <a:sysClr val="windowText" lastClr="000000"/>
              </a:solidFill>
            </a:rPr>
            <a:t> by Province</a:t>
          </a:r>
          <a:endParaRPr lang="en-ZA" sz="1800" b="1">
            <a:solidFill>
              <a:sysClr val="windowText" lastClr="000000"/>
            </a:solidFill>
          </a:endParaRPr>
        </a:p>
      </xdr:txBody>
    </xdr:sp>
    <xdr:clientData/>
  </xdr:twoCellAnchor>
  <xdr:twoCellAnchor>
    <xdr:from>
      <xdr:col>14</xdr:col>
      <xdr:colOff>101600</xdr:colOff>
      <xdr:row>21</xdr:row>
      <xdr:rowOff>151493</xdr:rowOff>
    </xdr:from>
    <xdr:to>
      <xdr:col>21</xdr:col>
      <xdr:colOff>368300</xdr:colOff>
      <xdr:row>36</xdr:row>
      <xdr:rowOff>49893</xdr:rowOff>
    </xdr:to>
    <xdr:sp macro="" textlink="">
      <xdr:nvSpPr>
        <xdr:cNvPr id="11" name="Rounded Rectangle 10"/>
        <xdr:cNvSpPr/>
      </xdr:nvSpPr>
      <xdr:spPr>
        <a:xfrm>
          <a:off x="8674100" y="4151993"/>
          <a:ext cx="4552950" cy="2755900"/>
        </a:xfrm>
        <a:prstGeom prst="roundRect">
          <a:avLst>
            <a:gd name="adj" fmla="val 6783"/>
          </a:avLst>
        </a:prstGeom>
        <a:solidFill>
          <a:schemeClr val="bg1"/>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800" b="1">
              <a:solidFill>
                <a:sysClr val="windowText" lastClr="000000"/>
              </a:solidFill>
            </a:rPr>
            <a:t>Sales</a:t>
          </a:r>
          <a:r>
            <a:rPr lang="en-ZA" sz="1800" b="1" baseline="0">
              <a:solidFill>
                <a:sysClr val="windowText" lastClr="000000"/>
              </a:solidFill>
            </a:rPr>
            <a:t> Method</a:t>
          </a:r>
          <a:endParaRPr lang="en-ZA" sz="1800" b="1">
            <a:solidFill>
              <a:sysClr val="windowText" lastClr="000000"/>
            </a:solidFill>
          </a:endParaRPr>
        </a:p>
      </xdr:txBody>
    </xdr:sp>
    <xdr:clientData/>
  </xdr:twoCellAnchor>
  <xdr:twoCellAnchor>
    <xdr:from>
      <xdr:col>21</xdr:col>
      <xdr:colOff>457201</xdr:colOff>
      <xdr:row>5</xdr:row>
      <xdr:rowOff>33162</xdr:rowOff>
    </xdr:from>
    <xdr:to>
      <xdr:col>27</xdr:col>
      <xdr:colOff>469901</xdr:colOff>
      <xdr:row>36</xdr:row>
      <xdr:rowOff>44649</xdr:rowOff>
    </xdr:to>
    <xdr:sp macro="" textlink="">
      <xdr:nvSpPr>
        <xdr:cNvPr id="12" name="Rounded Rectangle 11"/>
        <xdr:cNvSpPr/>
      </xdr:nvSpPr>
      <xdr:spPr>
        <a:xfrm>
          <a:off x="13271303" y="1000545"/>
          <a:ext cx="3673871" cy="6009260"/>
        </a:xfrm>
        <a:prstGeom prst="roundRect">
          <a:avLst>
            <a:gd name="adj" fmla="val 6783"/>
          </a:avLst>
        </a:prstGeom>
        <a:solidFill>
          <a:schemeClr val="bg1"/>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ZA" sz="1800" b="1">
              <a:solidFill>
                <a:sysClr val="windowText" lastClr="000000"/>
              </a:solidFill>
            </a:rPr>
            <a:t>Sales</a:t>
          </a:r>
          <a:r>
            <a:rPr lang="en-ZA" sz="1800" b="1" baseline="0">
              <a:solidFill>
                <a:sysClr val="windowText" lastClr="000000"/>
              </a:solidFill>
            </a:rPr>
            <a:t> by Retailer</a:t>
          </a:r>
          <a:endParaRPr lang="en-ZA" sz="1800" b="1">
            <a:solidFill>
              <a:sysClr val="windowText" lastClr="000000"/>
            </a:solidFill>
          </a:endParaRPr>
        </a:p>
      </xdr:txBody>
    </xdr:sp>
    <xdr:clientData/>
  </xdr:twoCellAnchor>
  <xdr:twoCellAnchor>
    <xdr:from>
      <xdr:col>0</xdr:col>
      <xdr:colOff>63500</xdr:colOff>
      <xdr:row>5</xdr:row>
      <xdr:rowOff>63500</xdr:rowOff>
    </xdr:from>
    <xdr:to>
      <xdr:col>6</xdr:col>
      <xdr:colOff>292100</xdr:colOff>
      <xdr:row>10</xdr:row>
      <xdr:rowOff>12700</xdr:rowOff>
    </xdr:to>
    <xdr:sp macro="" textlink="">
      <xdr:nvSpPr>
        <xdr:cNvPr id="13" name="Rounded Rectangle 12"/>
        <xdr:cNvSpPr/>
      </xdr:nvSpPr>
      <xdr:spPr>
        <a:xfrm>
          <a:off x="63500" y="1016000"/>
          <a:ext cx="3886200" cy="901700"/>
        </a:xfrm>
        <a:prstGeom prst="roundRect">
          <a:avLst>
            <a:gd name="adj" fmla="val 15234"/>
          </a:avLst>
        </a:prstGeom>
        <a:solidFill>
          <a:schemeClr val="bg2">
            <a:lumMod val="90000"/>
          </a:schemeClr>
        </a:solidFill>
        <a:ln>
          <a:solidFill>
            <a:schemeClr val="accent6"/>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ZA" sz="1800" b="1">
              <a:solidFill>
                <a:srgbClr val="FF0000"/>
              </a:solidFill>
            </a:rPr>
            <a:t>Note: </a:t>
          </a:r>
        </a:p>
        <a:p>
          <a:pPr algn="ctr"/>
          <a:r>
            <a:rPr lang="en-ZA" sz="1600" b="1">
              <a:solidFill>
                <a:sysClr val="windowText" lastClr="000000"/>
              </a:solidFill>
            </a:rPr>
            <a:t>Last Updated:</a:t>
          </a:r>
          <a:br>
            <a:rPr lang="en-ZA" sz="1600" b="1">
              <a:solidFill>
                <a:sysClr val="windowText" lastClr="000000"/>
              </a:solidFill>
            </a:rPr>
          </a:br>
          <a:r>
            <a:rPr lang="en-ZA" sz="1600" b="1">
              <a:solidFill>
                <a:sysClr val="windowText" lastClr="000000"/>
              </a:solidFill>
            </a:rPr>
            <a:t>20/11/2025</a:t>
          </a:r>
        </a:p>
      </xdr:txBody>
    </xdr:sp>
    <xdr:clientData/>
  </xdr:twoCellAnchor>
  <xdr:twoCellAnchor>
    <xdr:from>
      <xdr:col>7</xdr:col>
      <xdr:colOff>163286</xdr:colOff>
      <xdr:row>7</xdr:row>
      <xdr:rowOff>68036</xdr:rowOff>
    </xdr:from>
    <xdr:to>
      <xdr:col>21</xdr:col>
      <xdr:colOff>244929</xdr:colOff>
      <xdr:row>20</xdr:row>
      <xdr:rowOff>149679</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445407</xdr:colOff>
      <xdr:row>23</xdr:row>
      <xdr:rowOff>149679</xdr:rowOff>
    </xdr:from>
    <xdr:to>
      <xdr:col>13</xdr:col>
      <xdr:colOff>557893</xdr:colOff>
      <xdr:row>36</xdr:row>
      <xdr:rowOff>0</xdr:rowOff>
    </xdr:to>
    <mc:AlternateContent xmlns:mc="http://schemas.openxmlformats.org/markup-compatibility/2006">
      <mc:Choice xmlns:cx="http://schemas.microsoft.com/office/drawing/2014/chartex" Requires="cx">
        <xdr:graphicFrame macro="">
          <xdr:nvGraphicFramePr>
            <xdr:cNvPr id="20" name="Chart 19"/>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3"/>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340179</xdr:colOff>
      <xdr:row>22</xdr:row>
      <xdr:rowOff>136071</xdr:rowOff>
    </xdr:from>
    <xdr:to>
      <xdr:col>21</xdr:col>
      <xdr:colOff>367393</xdr:colOff>
      <xdr:row>36</xdr:row>
      <xdr:rowOff>54428</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520897</xdr:colOff>
      <xdr:row>7</xdr:row>
      <xdr:rowOff>148827</xdr:rowOff>
    </xdr:from>
    <xdr:to>
      <xdr:col>27</xdr:col>
      <xdr:colOff>401837</xdr:colOff>
      <xdr:row>35</xdr:row>
      <xdr:rowOff>104178</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157161</xdr:colOff>
      <xdr:row>12</xdr:row>
      <xdr:rowOff>176213</xdr:rowOff>
    </xdr:from>
    <xdr:to>
      <xdr:col>6</xdr:col>
      <xdr:colOff>208358</xdr:colOff>
      <xdr:row>16</xdr:row>
      <xdr:rowOff>89298</xdr:rowOff>
    </xdr:to>
    <mc:AlternateContent xmlns:mc="http://schemas.openxmlformats.org/markup-compatibility/2006">
      <mc:Choice xmlns:a14="http://schemas.microsoft.com/office/drawing/2010/main" Requires="a14">
        <xdr:graphicFrame macro="">
          <xdr:nvGraphicFramePr>
            <xdr:cNvPr id="2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7161" y="2497932"/>
              <a:ext cx="3712369" cy="68699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157161</xdr:colOff>
      <xdr:row>28</xdr:row>
      <xdr:rowOff>12502</xdr:rowOff>
    </xdr:from>
    <xdr:to>
      <xdr:col>6</xdr:col>
      <xdr:colOff>148828</xdr:colOff>
      <xdr:row>36</xdr:row>
      <xdr:rowOff>0</xdr:rowOff>
    </xdr:to>
    <mc:AlternateContent xmlns:mc="http://schemas.openxmlformats.org/markup-compatibility/2006">
      <mc:Choice xmlns:a14="http://schemas.microsoft.com/office/drawing/2010/main" Requires="a14">
        <xdr:graphicFrame macro="">
          <xdr:nvGraphicFramePr>
            <xdr:cNvPr id="24"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57161" y="5429846"/>
              <a:ext cx="3652839" cy="153531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157163</xdr:colOff>
      <xdr:row>16</xdr:row>
      <xdr:rowOff>191094</xdr:rowOff>
    </xdr:from>
    <xdr:to>
      <xdr:col>6</xdr:col>
      <xdr:colOff>163711</xdr:colOff>
      <xdr:row>27</xdr:row>
      <xdr:rowOff>104179</xdr:rowOff>
    </xdr:to>
    <mc:AlternateContent xmlns:mc="http://schemas.openxmlformats.org/markup-compatibility/2006">
      <mc:Choice xmlns:a14="http://schemas.microsoft.com/office/drawing/2010/main" Requires="a14">
        <xdr:graphicFrame macro="">
          <xdr:nvGraphicFramePr>
            <xdr:cNvPr id="25"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157163" y="3286719"/>
              <a:ext cx="3667720" cy="204132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5981.236608101855" createdVersion="6" refreshedVersion="6" minRefreshableVersion="3" recordCount="200">
  <cacheSource type="worksheet">
    <worksheetSource ref="A1:M201" sheet="Worksheet"/>
  </cacheSource>
  <cacheFields count="14">
    <cacheField name="Retailer" numFmtId="0">
      <sharedItems count="10">
        <s v="Ubuntu Group"/>
        <s v="Takealot"/>
        <s v="Woolworths"/>
        <s v="Pick n Pay"/>
        <s v="Checkers"/>
        <s v="SuperSport"/>
        <s v="Sportscene"/>
        <s v="Mr Price Sport"/>
        <s v="Makro"/>
        <s v="Game Stores"/>
      </sharedItems>
    </cacheField>
    <cacheField name="Retailer ID" numFmtId="0">
      <sharedItems containsSemiMixedTypes="0" containsString="0" containsNumber="1" containsInteger="1" minValue="2025001" maxValue="2025010"/>
    </cacheField>
    <cacheField name="Invoice Date" numFmtId="164">
      <sharedItems containsSemiMixedTypes="0" containsNonDate="0" containsDate="1" containsString="0" minDate="2024-01-05T00:00:00" maxDate="2024-11-29T00:00:00" count="148">
        <d v="2024-01-15T00:00:00"/>
        <d v="2024-01-16T00:00:00"/>
        <d v="2024-01-17T00:00:00"/>
        <d v="2024-01-18T00:00:00"/>
        <d v="2024-01-19T00:00:00"/>
        <d v="2024-01-20T00:00:00"/>
        <d v="2024-02-05T00:00:00"/>
        <d v="2024-02-06T00:00:00"/>
        <d v="2024-02-07T00:00:00"/>
        <d v="2024-02-08T00:00:00"/>
        <d v="2024-03-12T00:00:00"/>
        <d v="2024-03-13T00:00:00"/>
        <d v="2024-03-14T00:00:00"/>
        <d v="2024-03-15T00:00:00"/>
        <d v="2024-04-22T00:00:00"/>
        <d v="2024-05-30T00:00:00"/>
        <d v="2024-05-31T00:00:00"/>
        <d v="2024-06-01T00:00:00"/>
        <d v="2024-06-02T00:00:00"/>
        <d v="2024-07-10T00:00:00"/>
        <d v="2024-07-11T00:00:00"/>
        <d v="2024-07-12T00:00:00"/>
        <d v="2024-07-13T00:00:00"/>
        <d v="2024-08-05T00:00:00"/>
        <d v="2024-08-06T00:00:00"/>
        <d v="2024-08-07T00:00:00"/>
        <d v="2024-08-08T00:00:00"/>
        <d v="2024-09-18T00:00:00"/>
        <d v="2024-09-19T00:00:00"/>
        <d v="2024-09-20T00:00:00"/>
        <d v="2024-09-21T00:00:00"/>
        <d v="2024-10-02T00:00:00"/>
        <d v="2024-10-03T00:00:00"/>
        <d v="2024-10-04T00:00:00"/>
        <d v="2024-10-05T00:00:00"/>
        <d v="2024-11-12T00:00:00"/>
        <d v="2024-11-13T00:00:00"/>
        <d v="2024-11-14T00:00:00"/>
        <d v="2024-11-15T00:00:00"/>
        <d v="2024-02-28T00:00:00"/>
        <d v="2024-03-01T00:00:00"/>
        <d v="2024-03-02T00:00:00"/>
        <d v="2024-03-03T00:00:00"/>
        <d v="2024-04-10T00:00:00"/>
        <d v="2024-04-11T00:00:00"/>
        <d v="2024-05-20T00:00:00"/>
        <d v="2024-05-21T00:00:00"/>
        <d v="2024-06-15T00:00:00"/>
        <d v="2024-07-25T00:00:00"/>
        <d v="2024-08-18T00:00:00"/>
        <d v="2024-09-05T00:00:00"/>
        <d v="2024-10-22T00:00:00"/>
        <d v="2024-11-28T00:00:00"/>
        <d v="2024-06-10T00:00:00"/>
        <d v="2024-06-11T00:00:00"/>
        <d v="2024-07-14T00:00:00"/>
        <d v="2024-07-15T00:00:00"/>
        <d v="2024-08-22T00:00:00"/>
        <d v="2024-08-23T00:00:00"/>
        <d v="2024-09-30T00:00:00"/>
        <d v="2024-10-01T00:00:00"/>
        <d v="2024-10-10T00:00:00"/>
        <d v="2024-10-11T00:00:00"/>
        <d v="2024-11-05T00:00:00"/>
        <d v="2024-11-06T00:00:00"/>
        <d v="2024-01-05T00:00:00"/>
        <d v="2024-01-06T00:00:00"/>
        <d v="2024-02-12T00:00:00"/>
        <d v="2024-02-13T00:00:00"/>
        <d v="2024-03-18T00:00:00"/>
        <d v="2024-03-19T00:00:00"/>
        <d v="2024-04-25T00:00:00"/>
        <d v="2024-04-26T00:00:00"/>
        <d v="2024-05-15T00:00:00"/>
        <d v="2024-05-16T00:00:00"/>
        <d v="2024-06-20T00:00:00"/>
        <d v="2024-06-21T00:00:00"/>
        <d v="2024-07-28T00:00:00"/>
        <d v="2024-07-29T00:00:00"/>
        <d v="2024-08-14T00:00:00"/>
        <d v="2024-08-15T00:00:00"/>
        <d v="2024-09-12T00:00:00"/>
        <d v="2024-09-13T00:00:00"/>
        <d v="2024-10-18T00:00:00"/>
        <d v="2024-10-19T00:00:00"/>
        <d v="2024-11-22T00:00:00"/>
        <d v="2024-11-23T00:00:00"/>
        <d v="2024-01-21T00:00:00"/>
        <d v="2024-05-25T00:00:00"/>
        <d v="2024-05-26T00:00:00"/>
        <d v="2024-06-30T00:00:00"/>
        <d v="2024-07-01T00:00:00"/>
        <d v="2024-09-22T00:00:00"/>
        <d v="2024-07-05T00:00:00"/>
        <d v="2024-07-06T00:00:00"/>
        <d v="2024-07-07T00:00:00"/>
        <d v="2024-07-08T00:00:00"/>
        <d v="2024-08-12T00:00:00"/>
        <d v="2024-08-13T00:00:00"/>
        <d v="2024-09-23T00:00:00"/>
        <d v="2024-10-06T00:00:00"/>
        <d v="2024-10-07T00:00:00"/>
        <d v="2024-10-08T00:00:00"/>
        <d v="2024-10-25T00:00:00"/>
        <d v="2024-10-26T00:00:00"/>
        <d v="2024-10-27T00:00:00"/>
        <d v="2024-10-28T00:00:00"/>
        <d v="2024-11-02T00:00:00"/>
        <d v="2024-11-03T00:00:00"/>
        <d v="2024-11-04T00:00:00"/>
        <d v="2024-06-18T00:00:00"/>
        <d v="2024-06-19T00:00:00"/>
        <d v="2024-07-09T00:00:00"/>
        <d v="2024-08-16T00:00:00"/>
        <d v="2024-08-17T00:00:00"/>
        <d v="2024-09-03T00:00:00"/>
        <d v="2024-09-04T00:00:00"/>
        <d v="2024-09-06T00:00:00"/>
        <d v="2024-10-12T00:00:00"/>
        <d v="2024-10-13T00:00:00"/>
        <d v="2024-10-14T00:00:00"/>
        <d v="2024-11-01T00:00:00"/>
        <d v="2024-06-28T00:00:00"/>
        <d v="2024-06-29T00:00:00"/>
        <d v="2024-07-22T00:00:00"/>
        <d v="2024-11-08T00:00:00"/>
        <d v="2024-09-17T00:00:00"/>
        <d v="2024-11-10T00:00:00"/>
        <d v="2024-11-11T00:00:00"/>
        <d v="2024-10-29T00:00:00"/>
        <d v="2024-02-15T00:00:00"/>
        <d v="2024-02-16T00:00:00"/>
        <d v="2024-03-22T00:00:00"/>
        <d v="2024-03-23T00:00:00"/>
        <d v="2024-04-28T00:00:00"/>
        <d v="2024-04-29T00:00:00"/>
        <d v="2024-05-17T00:00:00"/>
        <d v="2024-06-25T00:00:00"/>
        <d v="2024-06-26T00:00:00"/>
        <d v="2024-07-30T00:00:00"/>
        <d v="2024-07-31T00:00:00"/>
        <d v="2024-08-28T00:00:00"/>
        <d v="2024-08-29T00:00:00"/>
        <d v="2024-10-23T00:00:00"/>
        <d v="2024-10-30T00:00:00"/>
        <d v="2024-10-31T00:00:00"/>
        <d v="2024-08-10T00:00:00"/>
        <d v="2024-08-11T00:00:00"/>
      </sharedItems>
      <fieldGroup par="13" base="2">
        <rangePr groupBy="days" startDate="2024-01-05T00:00:00" endDate="2024-11-29T00:00:00"/>
        <groupItems count="368">
          <s v="&lt;1/5/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9/2024"/>
        </groupItems>
      </fieldGroup>
    </cacheField>
    <cacheField name="Region" numFmtId="0">
      <sharedItems count="1">
        <s v="Southern Africa"/>
      </sharedItems>
    </cacheField>
    <cacheField name="Province" numFmtId="0">
      <sharedItems count="9">
        <s v="Gauteng"/>
        <s v="Western Cape"/>
        <s v="KwaZulu-Natal"/>
        <s v="Eastern Cape"/>
        <s v="Free State"/>
        <s v="North West"/>
        <s v="Limpopo"/>
        <s v="Mpumalanga"/>
        <s v="Northern Cap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R)" numFmtId="0">
      <sharedItems containsSemiMixedTypes="0" containsString="0" containsNumber="1" containsInteger="1" minValue="290" maxValue="1380"/>
    </cacheField>
    <cacheField name="Units Sold" numFmtId="0">
      <sharedItems containsSemiMixedTypes="0" containsString="0" containsNumber="1" containsInteger="1" minValue="70" maxValue="1050"/>
    </cacheField>
    <cacheField name="Total Sales (R)" numFmtId="0">
      <sharedItems containsSemiMixedTypes="0" containsString="0" containsNumber="1" containsInteger="1" minValue="29000" maxValue="1260000"/>
    </cacheField>
    <cacheField name="Operating Profit (R)" numFmtId="0">
      <sharedItems containsSemiMixedTypes="0" containsString="0" containsNumber="1" containsInteger="1" minValue="5616" maxValue="630000"/>
    </cacheField>
    <cacheField name="Operating Margin" numFmtId="9">
      <sharedItems containsSemiMixedTypes="0" containsString="0" containsNumber="1" minValue="0.08" maxValue="0.75"/>
    </cacheField>
    <cacheField name="Sales Method" numFmtId="0">
      <sharedItems count="3">
        <s v="Outlet"/>
        <s v="Online"/>
        <s v="In-store"/>
      </sharedItems>
    </cacheField>
    <cacheField name="Months" numFmtId="0" databaseField="0">
      <fieldGroup base="2">
        <rangePr groupBy="months" startDate="2024-01-05T00:00:00" endDate="2024-11-29T00:00:00"/>
        <groupItems count="14">
          <s v="&lt;1/5/2024"/>
          <s v="Jan"/>
          <s v="Feb"/>
          <s v="Mar"/>
          <s v="Apr"/>
          <s v="May"/>
          <s v="Jun"/>
          <s v="Jul"/>
          <s v="Aug"/>
          <s v="Sep"/>
          <s v="Oct"/>
          <s v="Nov"/>
          <s v="Dec"/>
          <s v="&gt;11/29/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
  <r>
    <x v="0"/>
    <n v="2025001"/>
    <x v="0"/>
    <x v="0"/>
    <x v="0"/>
    <s v="Johannesburg"/>
    <x v="0"/>
    <n v="750"/>
    <n v="850"/>
    <n v="637500"/>
    <n v="255000"/>
    <n v="0.4"/>
    <x v="0"/>
  </r>
  <r>
    <x v="0"/>
    <n v="2025001"/>
    <x v="1"/>
    <x v="0"/>
    <x v="0"/>
    <s v="Johannesburg"/>
    <x v="1"/>
    <n v="800"/>
    <n v="720"/>
    <n v="576000"/>
    <n v="172800"/>
    <n v="0.3"/>
    <x v="0"/>
  </r>
  <r>
    <x v="0"/>
    <n v="2025001"/>
    <x v="2"/>
    <x v="0"/>
    <x v="0"/>
    <s v="Johannesburg"/>
    <x v="2"/>
    <n v="650"/>
    <n v="820"/>
    <n v="533000"/>
    <n v="186550"/>
    <n v="0.35"/>
    <x v="0"/>
  </r>
  <r>
    <x v="0"/>
    <n v="2025001"/>
    <x v="3"/>
    <x v="0"/>
    <x v="0"/>
    <s v="Johannesburg"/>
    <x v="3"/>
    <n v="700"/>
    <n v="750"/>
    <n v="525000"/>
    <n v="183750"/>
    <n v="0.35"/>
    <x v="0"/>
  </r>
  <r>
    <x v="0"/>
    <n v="2025001"/>
    <x v="4"/>
    <x v="0"/>
    <x v="0"/>
    <s v="Johannesburg"/>
    <x v="4"/>
    <n v="900"/>
    <n v="680"/>
    <n v="612000"/>
    <n v="183600"/>
    <n v="0.3"/>
    <x v="0"/>
  </r>
  <r>
    <x v="0"/>
    <n v="2025001"/>
    <x v="5"/>
    <x v="0"/>
    <x v="0"/>
    <s v="Johannesburg"/>
    <x v="5"/>
    <n v="950"/>
    <n v="710"/>
    <n v="674500"/>
    <n v="168625"/>
    <n v="0.25"/>
    <x v="0"/>
  </r>
  <r>
    <x v="1"/>
    <n v="2025002"/>
    <x v="6"/>
    <x v="0"/>
    <x v="1"/>
    <s v="Cape Town"/>
    <x v="0"/>
    <n v="1200"/>
    <n v="1050"/>
    <n v="1260000"/>
    <n v="630000"/>
    <n v="0.5"/>
    <x v="1"/>
  </r>
  <r>
    <x v="1"/>
    <n v="2025002"/>
    <x v="7"/>
    <x v="0"/>
    <x v="1"/>
    <s v="Cape Town"/>
    <x v="1"/>
    <n v="1100"/>
    <n v="920"/>
    <n v="1012000"/>
    <n v="303600"/>
    <n v="0.3"/>
    <x v="1"/>
  </r>
  <r>
    <x v="1"/>
    <n v="2025002"/>
    <x v="8"/>
    <x v="0"/>
    <x v="1"/>
    <s v="Cape Town"/>
    <x v="2"/>
    <n v="980"/>
    <n v="900"/>
    <n v="882000"/>
    <n v="308700"/>
    <n v="0.35"/>
    <x v="1"/>
  </r>
  <r>
    <x v="1"/>
    <n v="2025002"/>
    <x v="9"/>
    <x v="0"/>
    <x v="1"/>
    <s v="Cape Town"/>
    <x v="3"/>
    <n v="1050"/>
    <n v="850"/>
    <n v="892500"/>
    <n v="312375"/>
    <n v="0.35"/>
    <x v="1"/>
  </r>
  <r>
    <x v="2"/>
    <n v="2025003"/>
    <x v="10"/>
    <x v="0"/>
    <x v="2"/>
    <s v="Durban"/>
    <x v="0"/>
    <n v="1350"/>
    <n v="620"/>
    <n v="837000"/>
    <n v="418500"/>
    <n v="0.5"/>
    <x v="2"/>
  </r>
  <r>
    <x v="2"/>
    <n v="2025003"/>
    <x v="11"/>
    <x v="0"/>
    <x v="2"/>
    <s v="Durban"/>
    <x v="1"/>
    <n v="1250"/>
    <n v="580"/>
    <n v="725000"/>
    <n v="217500"/>
    <n v="0.3"/>
    <x v="2"/>
  </r>
  <r>
    <x v="2"/>
    <n v="2025003"/>
    <x v="12"/>
    <x v="0"/>
    <x v="2"/>
    <s v="Durban"/>
    <x v="2"/>
    <n v="1100"/>
    <n v="600"/>
    <n v="660000"/>
    <n v="231000"/>
    <n v="0.35"/>
    <x v="2"/>
  </r>
  <r>
    <x v="2"/>
    <n v="2025003"/>
    <x v="13"/>
    <x v="0"/>
    <x v="2"/>
    <s v="Durban"/>
    <x v="3"/>
    <n v="1150"/>
    <n v="550"/>
    <n v="632500"/>
    <n v="221375"/>
    <n v="0.35"/>
    <x v="2"/>
  </r>
  <r>
    <x v="3"/>
    <n v="2025004"/>
    <x v="14"/>
    <x v="0"/>
    <x v="3"/>
    <s v="Port Elizabeth"/>
    <x v="0"/>
    <n v="520"/>
    <n v="410"/>
    <n v="213200"/>
    <n v="106600"/>
    <n v="0.5"/>
    <x v="1"/>
  </r>
  <r>
    <x v="3"/>
    <n v="2025004"/>
    <x v="14"/>
    <x v="0"/>
    <x v="3"/>
    <s v="Port Elizabeth"/>
    <x v="1"/>
    <n v="480"/>
    <n v="380"/>
    <n v="182400"/>
    <n v="81600"/>
    <n v="0.45"/>
    <x v="1"/>
  </r>
  <r>
    <x v="3"/>
    <n v="2025004"/>
    <x v="14"/>
    <x v="0"/>
    <x v="3"/>
    <s v="Port Elizabeth"/>
    <x v="2"/>
    <n v="380"/>
    <n v="350"/>
    <n v="133000"/>
    <n v="73150"/>
    <n v="0.55000000000000004"/>
    <x v="1"/>
  </r>
  <r>
    <x v="3"/>
    <n v="2025004"/>
    <x v="14"/>
    <x v="0"/>
    <x v="3"/>
    <s v="Port Elizabeth"/>
    <x v="3"/>
    <n v="420"/>
    <n v="320"/>
    <n v="134400"/>
    <n v="80640"/>
    <n v="0.6"/>
    <x v="1"/>
  </r>
  <r>
    <x v="4"/>
    <n v="2025005"/>
    <x v="15"/>
    <x v="0"/>
    <x v="4"/>
    <s v="Bloemfontein"/>
    <x v="0"/>
    <n v="950"/>
    <n v="220"/>
    <n v="209000"/>
    <n v="83600"/>
    <n v="0.4"/>
    <x v="0"/>
  </r>
  <r>
    <x v="4"/>
    <n v="2025005"/>
    <x v="16"/>
    <x v="0"/>
    <x v="4"/>
    <s v="Bloemfontein"/>
    <x v="1"/>
    <n v="880"/>
    <n v="180"/>
    <n v="158400"/>
    <n v="47520"/>
    <n v="0.3"/>
    <x v="0"/>
  </r>
  <r>
    <x v="4"/>
    <n v="2025005"/>
    <x v="17"/>
    <x v="0"/>
    <x v="4"/>
    <s v="Bloemfontein"/>
    <x v="2"/>
    <n v="780"/>
    <n v="210"/>
    <n v="163800"/>
    <n v="57330"/>
    <n v="0.35"/>
    <x v="0"/>
  </r>
  <r>
    <x v="4"/>
    <n v="2025005"/>
    <x v="18"/>
    <x v="0"/>
    <x v="4"/>
    <s v="Bloemfontein"/>
    <x v="3"/>
    <n v="820"/>
    <n v="190"/>
    <n v="155800"/>
    <n v="54530"/>
    <n v="0.35"/>
    <x v="0"/>
  </r>
  <r>
    <x v="5"/>
    <n v="2025006"/>
    <x v="19"/>
    <x v="0"/>
    <x v="5"/>
    <s v="Rustenburg"/>
    <x v="0"/>
    <n v="1100"/>
    <n v="310"/>
    <n v="341000"/>
    <n v="170500"/>
    <n v="0.5"/>
    <x v="2"/>
  </r>
  <r>
    <x v="5"/>
    <n v="2025006"/>
    <x v="20"/>
    <x v="0"/>
    <x v="5"/>
    <s v="Rustenburg"/>
    <x v="1"/>
    <n v="1050"/>
    <n v="290"/>
    <n v="304500"/>
    <n v="152250"/>
    <n v="0.5"/>
    <x v="2"/>
  </r>
  <r>
    <x v="5"/>
    <n v="2025006"/>
    <x v="21"/>
    <x v="0"/>
    <x v="5"/>
    <s v="Rustenburg"/>
    <x v="2"/>
    <n v="980"/>
    <n v="270"/>
    <n v="264600"/>
    <n v="142284"/>
    <n v="0.54"/>
    <x v="2"/>
  </r>
  <r>
    <x v="5"/>
    <n v="2025006"/>
    <x v="22"/>
    <x v="0"/>
    <x v="5"/>
    <s v="Rustenburg"/>
    <x v="3"/>
    <n v="1020"/>
    <n v="250"/>
    <n v="255000"/>
    <n v="153000"/>
    <n v="0.6"/>
    <x v="2"/>
  </r>
  <r>
    <x v="6"/>
    <n v="2025007"/>
    <x v="23"/>
    <x v="0"/>
    <x v="6"/>
    <s v="Polokwane"/>
    <x v="4"/>
    <n v="850"/>
    <n v="180"/>
    <n v="153000"/>
    <n v="38250"/>
    <n v="0.25"/>
    <x v="0"/>
  </r>
  <r>
    <x v="6"/>
    <n v="2025007"/>
    <x v="24"/>
    <x v="0"/>
    <x v="6"/>
    <s v="Polokwane"/>
    <x v="5"/>
    <n v="880"/>
    <n v="200"/>
    <n v="176000"/>
    <n v="26400"/>
    <n v="0.15"/>
    <x v="0"/>
  </r>
  <r>
    <x v="6"/>
    <n v="2025007"/>
    <x v="25"/>
    <x v="0"/>
    <x v="6"/>
    <s v="Polokwane"/>
    <x v="0"/>
    <n v="720"/>
    <n v="220"/>
    <n v="158400"/>
    <n v="79200"/>
    <n v="0.5"/>
    <x v="0"/>
  </r>
  <r>
    <x v="6"/>
    <n v="2025007"/>
    <x v="26"/>
    <x v="0"/>
    <x v="6"/>
    <s v="Polokwane"/>
    <x v="1"/>
    <n v="760"/>
    <n v="200"/>
    <n v="152000"/>
    <n v="60800"/>
    <n v="0.4"/>
    <x v="0"/>
  </r>
  <r>
    <x v="7"/>
    <n v="2025008"/>
    <x v="27"/>
    <x v="0"/>
    <x v="7"/>
    <s v="Nelspruit"/>
    <x v="2"/>
    <n v="420"/>
    <n v="190"/>
    <n v="79800"/>
    <n v="39900"/>
    <n v="0.5"/>
    <x v="1"/>
  </r>
  <r>
    <x v="7"/>
    <n v="2025008"/>
    <x v="28"/>
    <x v="0"/>
    <x v="7"/>
    <s v="Nelspruit"/>
    <x v="3"/>
    <n v="450"/>
    <n v="170"/>
    <n v="76500"/>
    <n v="45900"/>
    <n v="0.6"/>
    <x v="1"/>
  </r>
  <r>
    <x v="7"/>
    <n v="2025008"/>
    <x v="29"/>
    <x v="0"/>
    <x v="7"/>
    <s v="Nelspruit"/>
    <x v="4"/>
    <n v="520"/>
    <n v="150"/>
    <n v="78000"/>
    <n v="38220"/>
    <n v="0.49"/>
    <x v="1"/>
  </r>
  <r>
    <x v="7"/>
    <n v="2025008"/>
    <x v="30"/>
    <x v="0"/>
    <x v="7"/>
    <s v="Nelspruit"/>
    <x v="5"/>
    <n v="490"/>
    <n v="160"/>
    <n v="78400"/>
    <n v="54880"/>
    <n v="0.7"/>
    <x v="1"/>
  </r>
  <r>
    <x v="8"/>
    <n v="2025009"/>
    <x v="31"/>
    <x v="0"/>
    <x v="8"/>
    <s v="Kimberley"/>
    <x v="0"/>
    <n v="610"/>
    <n v="120"/>
    <n v="73200"/>
    <n v="37332"/>
    <n v="0.51"/>
    <x v="2"/>
  </r>
  <r>
    <x v="8"/>
    <n v="2025009"/>
    <x v="32"/>
    <x v="0"/>
    <x v="8"/>
    <s v="Kimberley"/>
    <x v="1"/>
    <n v="580"/>
    <n v="110"/>
    <n v="63800"/>
    <n v="30624"/>
    <n v="0.48"/>
    <x v="2"/>
  </r>
  <r>
    <x v="8"/>
    <n v="2025009"/>
    <x v="33"/>
    <x v="0"/>
    <x v="8"/>
    <s v="Kimberley"/>
    <x v="2"/>
    <n v="490"/>
    <n v="100"/>
    <n v="49000"/>
    <n v="26950"/>
    <n v="0.55000000000000004"/>
    <x v="2"/>
  </r>
  <r>
    <x v="8"/>
    <n v="2025009"/>
    <x v="34"/>
    <x v="0"/>
    <x v="8"/>
    <s v="Kimberley"/>
    <x v="3"/>
    <n v="520"/>
    <n v="90"/>
    <n v="46800"/>
    <n v="31824"/>
    <n v="0.68"/>
    <x v="2"/>
  </r>
  <r>
    <x v="9"/>
    <n v="2025010"/>
    <x v="35"/>
    <x v="0"/>
    <x v="0"/>
    <s v="Pretoria"/>
    <x v="0"/>
    <n v="680"/>
    <n v="340"/>
    <n v="231200"/>
    <n v="115600"/>
    <n v="0.5"/>
    <x v="0"/>
  </r>
  <r>
    <x v="9"/>
    <n v="2025010"/>
    <x v="36"/>
    <x v="0"/>
    <x v="0"/>
    <s v="Pretoria"/>
    <x v="1"/>
    <n v="650"/>
    <n v="300"/>
    <n v="195000"/>
    <n v="58500"/>
    <n v="0.3"/>
    <x v="0"/>
  </r>
  <r>
    <x v="9"/>
    <n v="2025010"/>
    <x v="37"/>
    <x v="0"/>
    <x v="0"/>
    <s v="Pretoria"/>
    <x v="2"/>
    <n v="590"/>
    <n v="320"/>
    <n v="188800"/>
    <n v="66080"/>
    <n v="0.35"/>
    <x v="0"/>
  </r>
  <r>
    <x v="9"/>
    <n v="2025010"/>
    <x v="38"/>
    <x v="0"/>
    <x v="0"/>
    <s v="Pretoria"/>
    <x v="3"/>
    <n v="610"/>
    <n v="290"/>
    <n v="176900"/>
    <n v="61915"/>
    <n v="0.35"/>
    <x v="0"/>
  </r>
  <r>
    <x v="0"/>
    <n v="2025001"/>
    <x v="39"/>
    <x v="0"/>
    <x v="1"/>
    <s v="Cape Town"/>
    <x v="0"/>
    <n v="1150"/>
    <n v="500"/>
    <n v="575000"/>
    <n v="287500"/>
    <n v="0.5"/>
    <x v="0"/>
  </r>
  <r>
    <x v="0"/>
    <n v="2025001"/>
    <x v="40"/>
    <x v="0"/>
    <x v="1"/>
    <s v="Cape Town"/>
    <x v="1"/>
    <n v="1080"/>
    <n v="480"/>
    <n v="518400"/>
    <n v="155520"/>
    <n v="0.3"/>
    <x v="0"/>
  </r>
  <r>
    <x v="0"/>
    <n v="2025001"/>
    <x v="41"/>
    <x v="0"/>
    <x v="1"/>
    <s v="Cape Town"/>
    <x v="2"/>
    <n v="950"/>
    <n v="520"/>
    <n v="494000"/>
    <n v="172900"/>
    <n v="0.35"/>
    <x v="0"/>
  </r>
  <r>
    <x v="0"/>
    <n v="2025001"/>
    <x v="42"/>
    <x v="0"/>
    <x v="1"/>
    <s v="Cape Town"/>
    <x v="3"/>
    <n v="1020"/>
    <n v="490"/>
    <n v="499800"/>
    <n v="174930"/>
    <n v="0.35"/>
    <x v="0"/>
  </r>
  <r>
    <x v="1"/>
    <n v="2025002"/>
    <x v="43"/>
    <x v="0"/>
    <x v="2"/>
    <s v="Durban"/>
    <x v="4"/>
    <n v="820"/>
    <n v="270"/>
    <n v="221400"/>
    <n v="99630"/>
    <n v="0.45"/>
    <x v="1"/>
  </r>
  <r>
    <x v="1"/>
    <n v="2025002"/>
    <x v="44"/>
    <x v="0"/>
    <x v="2"/>
    <s v="Durban"/>
    <x v="5"/>
    <n v="790"/>
    <n v="310"/>
    <n v="244900"/>
    <n v="171430"/>
    <n v="0.7"/>
    <x v="1"/>
  </r>
  <r>
    <x v="2"/>
    <n v="2025003"/>
    <x v="45"/>
    <x v="0"/>
    <x v="3"/>
    <s v="East London"/>
    <x v="0"/>
    <n v="1280"/>
    <n v="190"/>
    <n v="243200"/>
    <n v="121600"/>
    <n v="0.5"/>
    <x v="2"/>
  </r>
  <r>
    <x v="2"/>
    <n v="2025003"/>
    <x v="46"/>
    <x v="0"/>
    <x v="3"/>
    <s v="East London"/>
    <x v="3"/>
    <n v="1180"/>
    <n v="170"/>
    <n v="200600"/>
    <n v="100300"/>
    <n v="0.5"/>
    <x v="2"/>
  </r>
  <r>
    <x v="3"/>
    <n v="2025004"/>
    <x v="47"/>
    <x v="0"/>
    <x v="4"/>
    <s v="Kroonstad"/>
    <x v="2"/>
    <n v="340"/>
    <n v="120"/>
    <n v="40800"/>
    <n v="22440"/>
    <n v="0.55000000000000004"/>
    <x v="1"/>
  </r>
  <r>
    <x v="5"/>
    <n v="2025006"/>
    <x v="48"/>
    <x v="0"/>
    <x v="5"/>
    <s v="Mafikeng"/>
    <x v="1"/>
    <n v="980"/>
    <n v="140"/>
    <n v="137200"/>
    <n v="68600"/>
    <n v="0.5"/>
    <x v="2"/>
  </r>
  <r>
    <x v="6"/>
    <n v="2025007"/>
    <x v="49"/>
    <x v="0"/>
    <x v="6"/>
    <s v="Musina"/>
    <x v="5"/>
    <n v="560"/>
    <n v="95"/>
    <n v="53200"/>
    <n v="15960"/>
    <n v="0.3"/>
    <x v="0"/>
  </r>
  <r>
    <x v="7"/>
    <n v="2025008"/>
    <x v="50"/>
    <x v="0"/>
    <x v="7"/>
    <s v="Mbombela"/>
    <x v="0"/>
    <n v="390"/>
    <n v="130"/>
    <n v="50700"/>
    <n v="20280"/>
    <n v="0.4"/>
    <x v="1"/>
  </r>
  <r>
    <x v="8"/>
    <n v="2025009"/>
    <x v="51"/>
    <x v="0"/>
    <x v="8"/>
    <s v="Upington"/>
    <x v="3"/>
    <n v="480"/>
    <n v="85"/>
    <n v="40800"/>
    <n v="28560"/>
    <n v="0.7"/>
    <x v="2"/>
  </r>
  <r>
    <x v="9"/>
    <n v="2025010"/>
    <x v="52"/>
    <x v="0"/>
    <x v="0"/>
    <s v="Vereeniging"/>
    <x v="4"/>
    <n v="540"/>
    <n v="210"/>
    <n v="113400"/>
    <n v="34020"/>
    <n v="0.3"/>
    <x v="0"/>
  </r>
  <r>
    <x v="0"/>
    <n v="2025001"/>
    <x v="53"/>
    <x v="0"/>
    <x v="3"/>
    <s v="Gqeberha"/>
    <x v="2"/>
    <n v="610"/>
    <n v="200"/>
    <n v="122000"/>
    <n v="42700"/>
    <n v="0.35"/>
    <x v="0"/>
  </r>
  <r>
    <x v="0"/>
    <n v="2025001"/>
    <x v="54"/>
    <x v="0"/>
    <x v="3"/>
    <s v="Gqeberha"/>
    <x v="3"/>
    <n v="640"/>
    <n v="190"/>
    <n v="121600"/>
    <n v="60800"/>
    <n v="0.5"/>
    <x v="0"/>
  </r>
  <r>
    <x v="1"/>
    <n v="2025002"/>
    <x v="55"/>
    <x v="0"/>
    <x v="4"/>
    <s v="Bloemfontein"/>
    <x v="0"/>
    <n v="520"/>
    <n v="310"/>
    <n v="161200"/>
    <n v="80600"/>
    <n v="0.5"/>
    <x v="1"/>
  </r>
  <r>
    <x v="1"/>
    <n v="2025002"/>
    <x v="56"/>
    <x v="0"/>
    <x v="4"/>
    <s v="Bloemfontein"/>
    <x v="1"/>
    <n v="480"/>
    <n v="290"/>
    <n v="139200"/>
    <n v="62640"/>
    <n v="0.45"/>
    <x v="1"/>
  </r>
  <r>
    <x v="2"/>
    <n v="2025003"/>
    <x v="57"/>
    <x v="0"/>
    <x v="5"/>
    <s v="Potchefstroom"/>
    <x v="2"/>
    <n v="1080"/>
    <n v="180"/>
    <n v="194400"/>
    <n v="97200"/>
    <n v="0.5"/>
    <x v="2"/>
  </r>
  <r>
    <x v="2"/>
    <n v="2025003"/>
    <x v="58"/>
    <x v="0"/>
    <x v="5"/>
    <s v="Potchefstroom"/>
    <x v="3"/>
    <n v="1120"/>
    <n v="170"/>
    <n v="190400"/>
    <n v="95200"/>
    <n v="0.5"/>
    <x v="2"/>
  </r>
  <r>
    <x v="3"/>
    <n v="2025004"/>
    <x v="59"/>
    <x v="0"/>
    <x v="6"/>
    <s v="Thohoyandou"/>
    <x v="4"/>
    <n v="420"/>
    <n v="150"/>
    <n v="63000"/>
    <n v="34650"/>
    <n v="0.55000000000000004"/>
    <x v="1"/>
  </r>
  <r>
    <x v="3"/>
    <n v="2025004"/>
    <x v="60"/>
    <x v="0"/>
    <x v="6"/>
    <s v="Thohoyandou"/>
    <x v="5"/>
    <n v="450"/>
    <n v="140"/>
    <n v="63000"/>
    <n v="47250"/>
    <n v="0.75"/>
    <x v="1"/>
  </r>
  <r>
    <x v="4"/>
    <n v="2025005"/>
    <x v="61"/>
    <x v="0"/>
    <x v="7"/>
    <s v="Witbank"/>
    <x v="0"/>
    <n v="750"/>
    <n v="130"/>
    <n v="97500"/>
    <n v="43875"/>
    <n v="0.45"/>
    <x v="0"/>
  </r>
  <r>
    <x v="4"/>
    <n v="2025005"/>
    <x v="62"/>
    <x v="0"/>
    <x v="7"/>
    <s v="Witbank"/>
    <x v="1"/>
    <n v="790"/>
    <n v="120"/>
    <n v="94800"/>
    <n v="40644"/>
    <n v="0.43"/>
    <x v="0"/>
  </r>
  <r>
    <x v="5"/>
    <n v="2025006"/>
    <x v="63"/>
    <x v="0"/>
    <x v="8"/>
    <s v="Springbok"/>
    <x v="2"/>
    <n v="880"/>
    <n v="90"/>
    <n v="79200"/>
    <n v="39600"/>
    <n v="0.5"/>
    <x v="2"/>
  </r>
  <r>
    <x v="5"/>
    <n v="2025006"/>
    <x v="64"/>
    <x v="0"/>
    <x v="8"/>
    <s v="Springbok"/>
    <x v="3"/>
    <n v="920"/>
    <n v="85"/>
    <n v="78200"/>
    <n v="50830"/>
    <n v="0.65"/>
    <x v="2"/>
  </r>
  <r>
    <x v="6"/>
    <n v="2025007"/>
    <x v="65"/>
    <x v="0"/>
    <x v="0"/>
    <s v="Benoni"/>
    <x v="0"/>
    <n v="620"/>
    <n v="220"/>
    <n v="136400"/>
    <n v="54560"/>
    <n v="0.4"/>
    <x v="0"/>
  </r>
  <r>
    <x v="6"/>
    <n v="2025007"/>
    <x v="66"/>
    <x v="0"/>
    <x v="0"/>
    <s v="Benoni"/>
    <x v="1"/>
    <n v="660"/>
    <n v="200"/>
    <n v="132000"/>
    <n v="39600"/>
    <n v="0.3"/>
    <x v="0"/>
  </r>
  <r>
    <x v="7"/>
    <n v="2025008"/>
    <x v="67"/>
    <x v="0"/>
    <x v="1"/>
    <s v="Stellenbosch"/>
    <x v="2"/>
    <n v="310"/>
    <n v="180"/>
    <n v="55800"/>
    <n v="22320"/>
    <n v="0.4"/>
    <x v="1"/>
  </r>
  <r>
    <x v="7"/>
    <n v="2025008"/>
    <x v="68"/>
    <x v="0"/>
    <x v="1"/>
    <s v="Stellenbosch"/>
    <x v="3"/>
    <n v="330"/>
    <n v="170"/>
    <n v="56100"/>
    <n v="33099"/>
    <n v="0.59"/>
    <x v="1"/>
  </r>
  <r>
    <x v="8"/>
    <n v="2025009"/>
    <x v="69"/>
    <x v="0"/>
    <x v="2"/>
    <s v="Pietermaritzburg"/>
    <x v="4"/>
    <n v="550"/>
    <n v="190"/>
    <n v="104500"/>
    <n v="20900"/>
    <n v="0.2"/>
    <x v="2"/>
  </r>
  <r>
    <x v="8"/>
    <n v="2025009"/>
    <x v="70"/>
    <x v="0"/>
    <x v="2"/>
    <s v="Pietermaritzburg"/>
    <x v="5"/>
    <n v="590"/>
    <n v="210"/>
    <n v="123900"/>
    <n v="12390"/>
    <n v="0.1"/>
    <x v="2"/>
  </r>
  <r>
    <x v="9"/>
    <n v="2025010"/>
    <x v="71"/>
    <x v="0"/>
    <x v="3"/>
    <s v="Mthatha"/>
    <x v="0"/>
    <n v="480"/>
    <n v="160"/>
    <n v="76800"/>
    <n v="30720"/>
    <n v="0.4"/>
    <x v="0"/>
  </r>
  <r>
    <x v="9"/>
    <n v="2025010"/>
    <x v="72"/>
    <x v="0"/>
    <x v="3"/>
    <s v="Mthatha"/>
    <x v="1"/>
    <n v="510"/>
    <n v="150"/>
    <n v="76500"/>
    <n v="25763"/>
    <n v="0.34"/>
    <x v="0"/>
  </r>
  <r>
    <x v="0"/>
    <n v="2025001"/>
    <x v="73"/>
    <x v="0"/>
    <x v="4"/>
    <s v="Welkom"/>
    <x v="2"/>
    <n v="590"/>
    <n v="170"/>
    <n v="100300"/>
    <n v="35105"/>
    <n v="0.35"/>
    <x v="0"/>
  </r>
  <r>
    <x v="0"/>
    <n v="2025001"/>
    <x v="74"/>
    <x v="0"/>
    <x v="4"/>
    <s v="Welkom"/>
    <x v="3"/>
    <n v="620"/>
    <n v="160"/>
    <n v="99200"/>
    <n v="49600"/>
    <n v="0.5"/>
    <x v="0"/>
  </r>
  <r>
    <x v="1"/>
    <n v="2025002"/>
    <x v="75"/>
    <x v="0"/>
    <x v="5"/>
    <s v="Mahikeng"/>
    <x v="4"/>
    <n v="440"/>
    <n v="140"/>
    <n v="61600"/>
    <n v="27720"/>
    <n v="0.45"/>
    <x v="1"/>
  </r>
  <r>
    <x v="1"/>
    <n v="2025002"/>
    <x v="76"/>
    <x v="0"/>
    <x v="5"/>
    <s v="Mahikeng"/>
    <x v="5"/>
    <n v="470"/>
    <n v="130"/>
    <n v="61100"/>
    <n v="42770"/>
    <n v="0.7"/>
    <x v="1"/>
  </r>
  <r>
    <x v="2"/>
    <n v="2025003"/>
    <x v="77"/>
    <x v="0"/>
    <x v="6"/>
    <s v="Lebowakgomo"/>
    <x v="2"/>
    <n v="1050"/>
    <n v="110"/>
    <n v="115500"/>
    <n v="51975"/>
    <n v="0.45"/>
    <x v="2"/>
  </r>
  <r>
    <x v="2"/>
    <n v="2025003"/>
    <x v="78"/>
    <x v="0"/>
    <x v="6"/>
    <s v="Lebowakgomo"/>
    <x v="3"/>
    <n v="1090"/>
    <n v="100"/>
    <n v="109000"/>
    <n v="55590"/>
    <n v="0.51"/>
    <x v="2"/>
  </r>
  <r>
    <x v="3"/>
    <n v="2025004"/>
    <x v="79"/>
    <x v="0"/>
    <x v="7"/>
    <s v="Secunda"/>
    <x v="0"/>
    <n v="360"/>
    <n v="120"/>
    <n v="43200"/>
    <n v="21600"/>
    <n v="0.5"/>
    <x v="1"/>
  </r>
  <r>
    <x v="3"/>
    <n v="2025004"/>
    <x v="80"/>
    <x v="0"/>
    <x v="7"/>
    <s v="Secunda"/>
    <x v="1"/>
    <n v="390"/>
    <n v="110"/>
    <n v="42900"/>
    <n v="17160"/>
    <n v="0.4"/>
    <x v="1"/>
  </r>
  <r>
    <x v="4"/>
    <n v="2025005"/>
    <x v="81"/>
    <x v="0"/>
    <x v="8"/>
    <s v="Danielskuil"/>
    <x v="2"/>
    <n v="450"/>
    <n v="90"/>
    <n v="40500"/>
    <n v="13770"/>
    <n v="0.34"/>
    <x v="0"/>
  </r>
  <r>
    <x v="4"/>
    <n v="2025005"/>
    <x v="82"/>
    <x v="0"/>
    <x v="8"/>
    <s v="Danielskuil"/>
    <x v="3"/>
    <n v="480"/>
    <n v="80"/>
    <n v="38400"/>
    <n v="20736"/>
    <n v="0.54"/>
    <x v="0"/>
  </r>
  <r>
    <x v="5"/>
    <n v="2025006"/>
    <x v="83"/>
    <x v="0"/>
    <x v="0"/>
    <s v="Soweto"/>
    <x v="4"/>
    <n v="950"/>
    <n v="240"/>
    <n v="228000"/>
    <n v="136800"/>
    <n v="0.6"/>
    <x v="2"/>
  </r>
  <r>
    <x v="5"/>
    <n v="2025006"/>
    <x v="84"/>
    <x v="0"/>
    <x v="0"/>
    <s v="Soweto"/>
    <x v="5"/>
    <n v="990"/>
    <n v="260"/>
    <n v="257400"/>
    <n v="180180"/>
    <n v="0.7"/>
    <x v="2"/>
  </r>
  <r>
    <x v="6"/>
    <n v="2025007"/>
    <x v="85"/>
    <x v="0"/>
    <x v="1"/>
    <s v="George"/>
    <x v="0"/>
    <n v="680"/>
    <n v="180"/>
    <n v="122400"/>
    <n v="48960"/>
    <n v="0.4"/>
    <x v="0"/>
  </r>
  <r>
    <x v="6"/>
    <n v="2025007"/>
    <x v="86"/>
    <x v="0"/>
    <x v="1"/>
    <s v="George"/>
    <x v="1"/>
    <n v="720"/>
    <n v="170"/>
    <n v="122400"/>
    <n v="36720"/>
    <n v="0.3"/>
    <x v="0"/>
  </r>
  <r>
    <x v="7"/>
    <n v="2025008"/>
    <x v="5"/>
    <x v="0"/>
    <x v="2"/>
    <s v="Ulundi"/>
    <x v="2"/>
    <n v="290"/>
    <n v="100"/>
    <n v="29000"/>
    <n v="15950"/>
    <n v="0.55000000000000004"/>
    <x v="1"/>
  </r>
  <r>
    <x v="7"/>
    <n v="2025008"/>
    <x v="87"/>
    <x v="0"/>
    <x v="2"/>
    <s v="Ulundi"/>
    <x v="3"/>
    <n v="310"/>
    <n v="95"/>
    <n v="29450"/>
    <n v="17670"/>
    <n v="0.6"/>
    <x v="1"/>
  </r>
  <r>
    <x v="8"/>
    <n v="2025009"/>
    <x v="39"/>
    <x v="0"/>
    <x v="4"/>
    <s v="Sasolburg"/>
    <x v="4"/>
    <n v="490"/>
    <n v="130"/>
    <n v="63700"/>
    <n v="12740"/>
    <n v="0.2"/>
    <x v="2"/>
  </r>
  <r>
    <x v="8"/>
    <n v="2025009"/>
    <x v="40"/>
    <x v="0"/>
    <x v="4"/>
    <s v="Sasolburg"/>
    <x v="5"/>
    <n v="510"/>
    <n v="140"/>
    <n v="71400"/>
    <n v="5712"/>
    <n v="0.08"/>
    <x v="2"/>
  </r>
  <r>
    <x v="9"/>
    <n v="2025010"/>
    <x v="43"/>
    <x v="0"/>
    <x v="5"/>
    <s v="Lichtenburg"/>
    <x v="2"/>
    <n v="410"/>
    <n v="100"/>
    <n v="41000"/>
    <n v="16400"/>
    <n v="0.4"/>
    <x v="0"/>
  </r>
  <r>
    <x v="9"/>
    <n v="2025010"/>
    <x v="44"/>
    <x v="0"/>
    <x v="5"/>
    <s v="Lichtenburg"/>
    <x v="3"/>
    <n v="430"/>
    <n v="90"/>
    <n v="38700"/>
    <n v="19350"/>
    <n v="0.5"/>
    <x v="0"/>
  </r>
  <r>
    <x v="0"/>
    <n v="2025001"/>
    <x v="88"/>
    <x v="0"/>
    <x v="6"/>
    <s v="Tzaneen"/>
    <x v="0"/>
    <n v="720"/>
    <n v="210"/>
    <n v="151200"/>
    <n v="75600"/>
    <n v="0.5"/>
    <x v="0"/>
  </r>
  <r>
    <x v="0"/>
    <n v="2025001"/>
    <x v="89"/>
    <x v="0"/>
    <x v="6"/>
    <s v="Tzaneen"/>
    <x v="1"/>
    <n v="760"/>
    <n v="190"/>
    <n v="144400"/>
    <n v="38988"/>
    <n v="0.27"/>
    <x v="0"/>
  </r>
  <r>
    <x v="1"/>
    <n v="2025002"/>
    <x v="90"/>
    <x v="0"/>
    <x v="7"/>
    <s v="Middelburg"/>
    <x v="2"/>
    <n v="410"/>
    <n v="190"/>
    <n v="77900"/>
    <n v="38950"/>
    <n v="0.5"/>
    <x v="1"/>
  </r>
  <r>
    <x v="1"/>
    <n v="2025002"/>
    <x v="91"/>
    <x v="0"/>
    <x v="7"/>
    <s v="Middelburg"/>
    <x v="3"/>
    <n v="440"/>
    <n v="180"/>
    <n v="79200"/>
    <n v="49104"/>
    <n v="0.62"/>
    <x v="1"/>
  </r>
  <r>
    <x v="2"/>
    <n v="2025003"/>
    <x v="26"/>
    <x v="0"/>
    <x v="8"/>
    <s v="De Aar"/>
    <x v="5"/>
    <n v="1140"/>
    <n v="70"/>
    <n v="79800"/>
    <n v="31920"/>
    <n v="0.4"/>
    <x v="2"/>
  </r>
  <r>
    <x v="3"/>
    <n v="2025004"/>
    <x v="92"/>
    <x v="0"/>
    <x v="0"/>
    <s v="Vanderbijlpark"/>
    <x v="0"/>
    <n v="380"/>
    <n v="170"/>
    <n v="64600"/>
    <n v="22610"/>
    <n v="0.35"/>
    <x v="1"/>
  </r>
  <r>
    <x v="0"/>
    <n v="2025001"/>
    <x v="93"/>
    <x v="0"/>
    <x v="0"/>
    <s v="Johannesburg"/>
    <x v="0"/>
    <n v="780"/>
    <n v="720"/>
    <n v="561600"/>
    <n v="280800"/>
    <n v="0.5"/>
    <x v="0"/>
  </r>
  <r>
    <x v="0"/>
    <n v="2025001"/>
    <x v="94"/>
    <x v="0"/>
    <x v="0"/>
    <s v="Johannesburg"/>
    <x v="1"/>
    <n v="820"/>
    <n v="650"/>
    <n v="533000"/>
    <n v="159900"/>
    <n v="0.3"/>
    <x v="0"/>
  </r>
  <r>
    <x v="0"/>
    <n v="2025001"/>
    <x v="95"/>
    <x v="0"/>
    <x v="0"/>
    <s v="Johannesburg"/>
    <x v="2"/>
    <n v="680"/>
    <n v="780"/>
    <n v="530400"/>
    <n v="185640"/>
    <n v="0.35"/>
    <x v="0"/>
  </r>
  <r>
    <x v="0"/>
    <n v="2025001"/>
    <x v="96"/>
    <x v="0"/>
    <x v="0"/>
    <s v="Johannesburg"/>
    <x v="3"/>
    <n v="730"/>
    <n v="700"/>
    <n v="511000"/>
    <n v="178850"/>
    <n v="0.35"/>
    <x v="0"/>
  </r>
  <r>
    <x v="1"/>
    <n v="2025002"/>
    <x v="97"/>
    <x v="0"/>
    <x v="1"/>
    <s v="Cape Town"/>
    <x v="0"/>
    <n v="1250"/>
    <n v="980"/>
    <n v="1225000"/>
    <n v="612500"/>
    <n v="0.5"/>
    <x v="1"/>
  </r>
  <r>
    <x v="1"/>
    <n v="2025002"/>
    <x v="98"/>
    <x v="0"/>
    <x v="1"/>
    <s v="Cape Town"/>
    <x v="1"/>
    <n v="1150"/>
    <n v="870"/>
    <n v="1000500"/>
    <n v="300150"/>
    <n v="0.3"/>
    <x v="1"/>
  </r>
  <r>
    <x v="1"/>
    <n v="2025002"/>
    <x v="79"/>
    <x v="0"/>
    <x v="1"/>
    <s v="Cape Town"/>
    <x v="2"/>
    <n v="1020"/>
    <n v="920"/>
    <n v="938400"/>
    <n v="328440"/>
    <n v="0.35"/>
    <x v="1"/>
  </r>
  <r>
    <x v="1"/>
    <n v="2025002"/>
    <x v="80"/>
    <x v="0"/>
    <x v="1"/>
    <s v="Cape Town"/>
    <x v="3"/>
    <n v="1080"/>
    <n v="880"/>
    <n v="950400"/>
    <n v="332640"/>
    <n v="0.35"/>
    <x v="1"/>
  </r>
  <r>
    <x v="2"/>
    <n v="2025003"/>
    <x v="29"/>
    <x v="0"/>
    <x v="2"/>
    <s v="Durban"/>
    <x v="0"/>
    <n v="1380"/>
    <n v="580"/>
    <n v="800400"/>
    <n v="400200"/>
    <n v="0.5"/>
    <x v="2"/>
  </r>
  <r>
    <x v="2"/>
    <n v="2025003"/>
    <x v="30"/>
    <x v="0"/>
    <x v="2"/>
    <s v="Durban"/>
    <x v="1"/>
    <n v="1280"/>
    <n v="540"/>
    <n v="691200"/>
    <n v="207360"/>
    <n v="0.3"/>
    <x v="2"/>
  </r>
  <r>
    <x v="2"/>
    <n v="2025003"/>
    <x v="92"/>
    <x v="0"/>
    <x v="2"/>
    <s v="Durban"/>
    <x v="2"/>
    <n v="1150"/>
    <n v="570"/>
    <n v="655500"/>
    <n v="229425"/>
    <n v="0.35"/>
    <x v="2"/>
  </r>
  <r>
    <x v="2"/>
    <n v="2025003"/>
    <x v="99"/>
    <x v="0"/>
    <x v="2"/>
    <s v="Durban"/>
    <x v="3"/>
    <n v="1190"/>
    <n v="520"/>
    <n v="618800"/>
    <n v="216580"/>
    <n v="0.35"/>
    <x v="2"/>
  </r>
  <r>
    <x v="3"/>
    <n v="2025004"/>
    <x v="34"/>
    <x v="0"/>
    <x v="3"/>
    <s v="Port Elizabeth"/>
    <x v="0"/>
    <n v="540"/>
    <n v="390"/>
    <n v="210600"/>
    <n v="105300"/>
    <n v="0.5"/>
    <x v="1"/>
  </r>
  <r>
    <x v="3"/>
    <n v="2025004"/>
    <x v="100"/>
    <x v="0"/>
    <x v="3"/>
    <s v="Port Elizabeth"/>
    <x v="1"/>
    <n v="510"/>
    <n v="360"/>
    <n v="183600"/>
    <n v="82620"/>
    <n v="0.45"/>
    <x v="1"/>
  </r>
  <r>
    <x v="3"/>
    <n v="2025004"/>
    <x v="101"/>
    <x v="0"/>
    <x v="3"/>
    <s v="Port Elizabeth"/>
    <x v="2"/>
    <n v="410"/>
    <n v="330"/>
    <n v="135300"/>
    <n v="74355"/>
    <n v="0.55000000000000004"/>
    <x v="1"/>
  </r>
  <r>
    <x v="3"/>
    <n v="2025004"/>
    <x v="102"/>
    <x v="0"/>
    <x v="3"/>
    <s v="Port Elizabeth"/>
    <x v="3"/>
    <n v="450"/>
    <n v="310"/>
    <n v="139500"/>
    <n v="83700"/>
    <n v="0.6"/>
    <x v="1"/>
  </r>
  <r>
    <x v="4"/>
    <n v="2025005"/>
    <x v="103"/>
    <x v="0"/>
    <x v="4"/>
    <s v="Bloemfontein"/>
    <x v="0"/>
    <n v="980"/>
    <n v="200"/>
    <n v="196000"/>
    <n v="78400"/>
    <n v="0.4"/>
    <x v="0"/>
  </r>
  <r>
    <x v="4"/>
    <n v="2025005"/>
    <x v="104"/>
    <x v="0"/>
    <x v="4"/>
    <s v="Bloemfontein"/>
    <x v="1"/>
    <n v="920"/>
    <n v="170"/>
    <n v="156400"/>
    <n v="46920"/>
    <n v="0.3"/>
    <x v="0"/>
  </r>
  <r>
    <x v="4"/>
    <n v="2025005"/>
    <x v="105"/>
    <x v="0"/>
    <x v="4"/>
    <s v="Bloemfontein"/>
    <x v="2"/>
    <n v="810"/>
    <n v="190"/>
    <n v="153900"/>
    <n v="53865"/>
    <n v="0.35"/>
    <x v="0"/>
  </r>
  <r>
    <x v="4"/>
    <n v="2025005"/>
    <x v="106"/>
    <x v="0"/>
    <x v="4"/>
    <s v="Bloemfontein"/>
    <x v="3"/>
    <n v="850"/>
    <n v="180"/>
    <n v="153000"/>
    <n v="53550"/>
    <n v="0.35"/>
    <x v="0"/>
  </r>
  <r>
    <x v="5"/>
    <n v="2025006"/>
    <x v="107"/>
    <x v="0"/>
    <x v="5"/>
    <s v="Rustenburg"/>
    <x v="0"/>
    <n v="1150"/>
    <n v="290"/>
    <n v="333500"/>
    <n v="166750"/>
    <n v="0.5"/>
    <x v="2"/>
  </r>
  <r>
    <x v="5"/>
    <n v="2025006"/>
    <x v="108"/>
    <x v="0"/>
    <x v="5"/>
    <s v="Rustenburg"/>
    <x v="1"/>
    <n v="1100"/>
    <n v="270"/>
    <n v="297000"/>
    <n v="148500"/>
    <n v="0.5"/>
    <x v="2"/>
  </r>
  <r>
    <x v="5"/>
    <n v="2025006"/>
    <x v="109"/>
    <x v="0"/>
    <x v="5"/>
    <s v="Rustenburg"/>
    <x v="2"/>
    <n v="1020"/>
    <n v="250"/>
    <n v="255000"/>
    <n v="137700"/>
    <n v="0.54"/>
    <x v="2"/>
  </r>
  <r>
    <x v="5"/>
    <n v="2025006"/>
    <x v="63"/>
    <x v="0"/>
    <x v="5"/>
    <s v="Rustenburg"/>
    <x v="3"/>
    <n v="1070"/>
    <n v="240"/>
    <n v="256800"/>
    <n v="154080"/>
    <n v="0.6"/>
    <x v="2"/>
  </r>
  <r>
    <x v="6"/>
    <n v="2025007"/>
    <x v="110"/>
    <x v="0"/>
    <x v="6"/>
    <s v="Polokwane"/>
    <x v="4"/>
    <n v="880"/>
    <n v="170"/>
    <n v="149600"/>
    <n v="37400"/>
    <n v="0.25"/>
    <x v="0"/>
  </r>
  <r>
    <x v="6"/>
    <n v="2025007"/>
    <x v="111"/>
    <x v="0"/>
    <x v="6"/>
    <s v="Polokwane"/>
    <x v="5"/>
    <n v="910"/>
    <n v="190"/>
    <n v="172900"/>
    <n v="25935"/>
    <n v="0.15"/>
    <x v="0"/>
  </r>
  <r>
    <x v="6"/>
    <n v="2025007"/>
    <x v="75"/>
    <x v="0"/>
    <x v="6"/>
    <s v="Polokwane"/>
    <x v="0"/>
    <n v="750"/>
    <n v="210"/>
    <n v="157500"/>
    <n v="78750"/>
    <n v="0.5"/>
    <x v="0"/>
  </r>
  <r>
    <x v="6"/>
    <n v="2025007"/>
    <x v="76"/>
    <x v="0"/>
    <x v="6"/>
    <s v="Polokwane"/>
    <x v="1"/>
    <n v="790"/>
    <n v="190"/>
    <n v="150100"/>
    <n v="60040"/>
    <n v="0.4"/>
    <x v="0"/>
  </r>
  <r>
    <x v="7"/>
    <n v="2025008"/>
    <x v="112"/>
    <x v="0"/>
    <x v="7"/>
    <s v="Nelspruit"/>
    <x v="2"/>
    <n v="450"/>
    <n v="180"/>
    <n v="81000"/>
    <n v="40500"/>
    <n v="0.5"/>
    <x v="1"/>
  </r>
  <r>
    <x v="7"/>
    <n v="2025008"/>
    <x v="19"/>
    <x v="0"/>
    <x v="7"/>
    <s v="Nelspruit"/>
    <x v="3"/>
    <n v="480"/>
    <n v="160"/>
    <n v="76800"/>
    <n v="46080"/>
    <n v="0.6"/>
    <x v="1"/>
  </r>
  <r>
    <x v="7"/>
    <n v="2025008"/>
    <x v="20"/>
    <x v="0"/>
    <x v="7"/>
    <s v="Nelspruit"/>
    <x v="4"/>
    <n v="550"/>
    <n v="140"/>
    <n v="77000"/>
    <n v="37730"/>
    <n v="0.49"/>
    <x v="1"/>
  </r>
  <r>
    <x v="7"/>
    <n v="2025008"/>
    <x v="21"/>
    <x v="0"/>
    <x v="7"/>
    <s v="Nelspruit"/>
    <x v="5"/>
    <n v="520"/>
    <n v="150"/>
    <n v="78000"/>
    <n v="54600"/>
    <n v="0.7"/>
    <x v="1"/>
  </r>
  <r>
    <x v="8"/>
    <n v="2025009"/>
    <x v="79"/>
    <x v="0"/>
    <x v="8"/>
    <s v="Kimberley"/>
    <x v="0"/>
    <n v="640"/>
    <n v="110"/>
    <n v="70400"/>
    <n v="35904"/>
    <n v="0.51"/>
    <x v="2"/>
  </r>
  <r>
    <x v="8"/>
    <n v="2025009"/>
    <x v="80"/>
    <x v="0"/>
    <x v="8"/>
    <s v="Kimberley"/>
    <x v="1"/>
    <n v="610"/>
    <n v="100"/>
    <n v="61000"/>
    <n v="29280"/>
    <n v="0.48"/>
    <x v="2"/>
  </r>
  <r>
    <x v="8"/>
    <n v="2025009"/>
    <x v="113"/>
    <x v="0"/>
    <x v="8"/>
    <s v="Kimberley"/>
    <x v="2"/>
    <n v="520"/>
    <n v="95"/>
    <n v="49400"/>
    <n v="27170"/>
    <n v="0.55000000000000004"/>
    <x v="2"/>
  </r>
  <r>
    <x v="8"/>
    <n v="2025009"/>
    <x v="114"/>
    <x v="0"/>
    <x v="8"/>
    <s v="Kimberley"/>
    <x v="3"/>
    <n v="550"/>
    <n v="85"/>
    <n v="46750"/>
    <n v="31790"/>
    <n v="0.68"/>
    <x v="2"/>
  </r>
  <r>
    <x v="9"/>
    <n v="2025010"/>
    <x v="115"/>
    <x v="0"/>
    <x v="0"/>
    <s v="Pretoria"/>
    <x v="0"/>
    <n v="710"/>
    <n v="320"/>
    <n v="227200"/>
    <n v="113600"/>
    <n v="0.5"/>
    <x v="0"/>
  </r>
  <r>
    <x v="9"/>
    <n v="2025010"/>
    <x v="116"/>
    <x v="0"/>
    <x v="0"/>
    <s v="Pretoria"/>
    <x v="1"/>
    <n v="680"/>
    <n v="290"/>
    <n v="197200"/>
    <n v="59160"/>
    <n v="0.3"/>
    <x v="0"/>
  </r>
  <r>
    <x v="9"/>
    <n v="2025010"/>
    <x v="50"/>
    <x v="0"/>
    <x v="0"/>
    <s v="Pretoria"/>
    <x v="2"/>
    <n v="620"/>
    <n v="310"/>
    <n v="192200"/>
    <n v="67270"/>
    <n v="0.35"/>
    <x v="0"/>
  </r>
  <r>
    <x v="9"/>
    <n v="2025010"/>
    <x v="117"/>
    <x v="0"/>
    <x v="0"/>
    <s v="Pretoria"/>
    <x v="3"/>
    <n v="640"/>
    <n v="280"/>
    <n v="179200"/>
    <n v="62720"/>
    <n v="0.35"/>
    <x v="0"/>
  </r>
  <r>
    <x v="0"/>
    <n v="2025001"/>
    <x v="62"/>
    <x v="0"/>
    <x v="1"/>
    <s v="Cape Town"/>
    <x v="0"/>
    <n v="1180"/>
    <n v="470"/>
    <n v="554600"/>
    <n v="277300"/>
    <n v="0.5"/>
    <x v="0"/>
  </r>
  <r>
    <x v="0"/>
    <n v="2025001"/>
    <x v="118"/>
    <x v="0"/>
    <x v="1"/>
    <s v="Cape Town"/>
    <x v="1"/>
    <n v="1120"/>
    <n v="450"/>
    <n v="504000"/>
    <n v="151200"/>
    <n v="0.3"/>
    <x v="0"/>
  </r>
  <r>
    <x v="0"/>
    <n v="2025001"/>
    <x v="119"/>
    <x v="0"/>
    <x v="1"/>
    <s v="Cape Town"/>
    <x v="2"/>
    <n v="980"/>
    <n v="490"/>
    <n v="480200"/>
    <n v="168070"/>
    <n v="0.35"/>
    <x v="0"/>
  </r>
  <r>
    <x v="0"/>
    <n v="2025001"/>
    <x v="120"/>
    <x v="0"/>
    <x v="1"/>
    <s v="Cape Town"/>
    <x v="3"/>
    <n v="1050"/>
    <n v="460"/>
    <n v="483000"/>
    <n v="169050"/>
    <n v="0.35"/>
    <x v="0"/>
  </r>
  <r>
    <x v="1"/>
    <n v="2025002"/>
    <x v="121"/>
    <x v="0"/>
    <x v="2"/>
    <s v="Durban"/>
    <x v="4"/>
    <n v="850"/>
    <n v="250"/>
    <n v="212500"/>
    <n v="95625"/>
    <n v="0.45"/>
    <x v="1"/>
  </r>
  <r>
    <x v="1"/>
    <n v="2025002"/>
    <x v="107"/>
    <x v="0"/>
    <x v="2"/>
    <s v="Durban"/>
    <x v="5"/>
    <n v="820"/>
    <n v="290"/>
    <n v="237800"/>
    <n v="166460"/>
    <n v="0.7"/>
    <x v="1"/>
  </r>
  <r>
    <x v="2"/>
    <n v="2025003"/>
    <x v="122"/>
    <x v="0"/>
    <x v="3"/>
    <s v="East London"/>
    <x v="0"/>
    <n v="1320"/>
    <n v="180"/>
    <n v="237600"/>
    <n v="118800"/>
    <n v="0.5"/>
    <x v="2"/>
  </r>
  <r>
    <x v="2"/>
    <n v="2025003"/>
    <x v="123"/>
    <x v="0"/>
    <x v="3"/>
    <s v="East London"/>
    <x v="3"/>
    <n v="1220"/>
    <n v="160"/>
    <n v="195200"/>
    <n v="97600"/>
    <n v="0.5"/>
    <x v="2"/>
  </r>
  <r>
    <x v="3"/>
    <n v="2025004"/>
    <x v="124"/>
    <x v="0"/>
    <x v="4"/>
    <s v="Kroonstad"/>
    <x v="2"/>
    <n v="360"/>
    <n v="110"/>
    <n v="39600"/>
    <n v="21780"/>
    <n v="0.55000000000000004"/>
    <x v="1"/>
  </r>
  <r>
    <x v="5"/>
    <n v="2025006"/>
    <x v="97"/>
    <x v="0"/>
    <x v="5"/>
    <s v="Mafikeng"/>
    <x v="1"/>
    <n v="1020"/>
    <n v="130"/>
    <n v="132600"/>
    <n v="66300"/>
    <n v="0.5"/>
    <x v="2"/>
  </r>
  <r>
    <x v="6"/>
    <n v="2025007"/>
    <x v="50"/>
    <x v="0"/>
    <x v="6"/>
    <s v="Musina"/>
    <x v="5"/>
    <n v="590"/>
    <n v="90"/>
    <n v="53100"/>
    <n v="15930"/>
    <n v="0.3"/>
    <x v="0"/>
  </r>
  <r>
    <x v="7"/>
    <n v="2025008"/>
    <x v="83"/>
    <x v="0"/>
    <x v="7"/>
    <s v="Mbombela"/>
    <x v="0"/>
    <n v="420"/>
    <n v="120"/>
    <n v="50400"/>
    <n v="20160"/>
    <n v="0.4"/>
    <x v="1"/>
  </r>
  <r>
    <x v="8"/>
    <n v="2025009"/>
    <x v="125"/>
    <x v="0"/>
    <x v="8"/>
    <s v="Upington"/>
    <x v="3"/>
    <n v="510"/>
    <n v="80"/>
    <n v="40800"/>
    <n v="28560"/>
    <n v="0.7"/>
    <x v="2"/>
  </r>
  <r>
    <x v="9"/>
    <n v="2025010"/>
    <x v="34"/>
    <x v="0"/>
    <x v="0"/>
    <s v="Vereeniging"/>
    <x v="4"/>
    <n v="570"/>
    <n v="200"/>
    <n v="114000"/>
    <n v="34200"/>
    <n v="0.3"/>
    <x v="0"/>
  </r>
  <r>
    <x v="0"/>
    <n v="2025001"/>
    <x v="57"/>
    <x v="0"/>
    <x v="3"/>
    <s v="Gqeberha"/>
    <x v="2"/>
    <n v="640"/>
    <n v="190"/>
    <n v="121600"/>
    <n v="42560"/>
    <n v="0.35"/>
    <x v="0"/>
  </r>
  <r>
    <x v="0"/>
    <n v="2025001"/>
    <x v="58"/>
    <x v="0"/>
    <x v="3"/>
    <s v="Gqeberha"/>
    <x v="3"/>
    <n v="670"/>
    <n v="180"/>
    <n v="120600"/>
    <n v="60300"/>
    <n v="0.5"/>
    <x v="0"/>
  </r>
  <r>
    <x v="1"/>
    <n v="2025002"/>
    <x v="126"/>
    <x v="0"/>
    <x v="4"/>
    <s v="Bloemfontein"/>
    <x v="0"/>
    <n v="550"/>
    <n v="290"/>
    <n v="159500"/>
    <n v="79750"/>
    <n v="0.5"/>
    <x v="1"/>
  </r>
  <r>
    <x v="1"/>
    <n v="2025002"/>
    <x v="27"/>
    <x v="0"/>
    <x v="4"/>
    <s v="Bloemfontein"/>
    <x v="1"/>
    <n v="510"/>
    <n v="270"/>
    <n v="137700"/>
    <n v="62055"/>
    <n v="0.45"/>
    <x v="1"/>
  </r>
  <r>
    <x v="2"/>
    <n v="2025003"/>
    <x v="34"/>
    <x v="0"/>
    <x v="5"/>
    <s v="Potchefstroom"/>
    <x v="2"/>
    <n v="1120"/>
    <n v="170"/>
    <n v="190400"/>
    <n v="95200"/>
    <n v="0.5"/>
    <x v="2"/>
  </r>
  <r>
    <x v="2"/>
    <n v="2025003"/>
    <x v="100"/>
    <x v="0"/>
    <x v="5"/>
    <s v="Potchefstroom"/>
    <x v="3"/>
    <n v="1160"/>
    <n v="160"/>
    <n v="185600"/>
    <n v="92800"/>
    <n v="0.5"/>
    <x v="2"/>
  </r>
  <r>
    <x v="3"/>
    <n v="2025004"/>
    <x v="127"/>
    <x v="0"/>
    <x v="6"/>
    <s v="Thohoyandou"/>
    <x v="4"/>
    <n v="450"/>
    <n v="140"/>
    <n v="63000"/>
    <n v="34650"/>
    <n v="0.55000000000000004"/>
    <x v="1"/>
  </r>
  <r>
    <x v="3"/>
    <n v="2025004"/>
    <x v="128"/>
    <x v="0"/>
    <x v="6"/>
    <s v="Thohoyandou"/>
    <x v="5"/>
    <n v="480"/>
    <n v="130"/>
    <n v="62400"/>
    <n v="46800"/>
    <n v="0.75"/>
    <x v="1"/>
  </r>
  <r>
    <x v="4"/>
    <n v="2025005"/>
    <x v="29"/>
    <x v="0"/>
    <x v="7"/>
    <s v="Witbank"/>
    <x v="0"/>
    <n v="780"/>
    <n v="120"/>
    <n v="93600"/>
    <n v="42120"/>
    <n v="0.45"/>
    <x v="0"/>
  </r>
  <r>
    <x v="4"/>
    <n v="2025005"/>
    <x v="30"/>
    <x v="0"/>
    <x v="7"/>
    <s v="Witbank"/>
    <x v="1"/>
    <n v="820"/>
    <n v="110"/>
    <n v="90200"/>
    <n v="38786"/>
    <n v="0.43"/>
    <x v="0"/>
  </r>
  <r>
    <x v="5"/>
    <n v="2025006"/>
    <x v="106"/>
    <x v="0"/>
    <x v="8"/>
    <s v="Springbok"/>
    <x v="2"/>
    <n v="920"/>
    <n v="85"/>
    <n v="78200"/>
    <n v="39100"/>
    <n v="0.5"/>
    <x v="2"/>
  </r>
  <r>
    <x v="5"/>
    <n v="2025006"/>
    <x v="129"/>
    <x v="0"/>
    <x v="8"/>
    <s v="Springbok"/>
    <x v="3"/>
    <n v="960"/>
    <n v="80"/>
    <n v="76800"/>
    <n v="49920"/>
    <n v="0.65"/>
    <x v="2"/>
  </r>
  <r>
    <x v="6"/>
    <n v="2025007"/>
    <x v="130"/>
    <x v="0"/>
    <x v="0"/>
    <s v="Benoni"/>
    <x v="0"/>
    <n v="650"/>
    <n v="210"/>
    <n v="136500"/>
    <n v="54600"/>
    <n v="0.4"/>
    <x v="0"/>
  </r>
  <r>
    <x v="6"/>
    <n v="2025007"/>
    <x v="131"/>
    <x v="0"/>
    <x v="0"/>
    <s v="Benoni"/>
    <x v="1"/>
    <n v="690"/>
    <n v="190"/>
    <n v="131100"/>
    <n v="39330"/>
    <n v="0.3"/>
    <x v="0"/>
  </r>
  <r>
    <x v="7"/>
    <n v="2025008"/>
    <x v="132"/>
    <x v="0"/>
    <x v="1"/>
    <s v="Stellenbosch"/>
    <x v="2"/>
    <n v="340"/>
    <n v="170"/>
    <n v="57800"/>
    <n v="23120"/>
    <n v="0.4"/>
    <x v="1"/>
  </r>
  <r>
    <x v="7"/>
    <n v="2025008"/>
    <x v="133"/>
    <x v="0"/>
    <x v="1"/>
    <s v="Stellenbosch"/>
    <x v="3"/>
    <n v="360"/>
    <n v="160"/>
    <n v="57600"/>
    <n v="34032"/>
    <n v="0.59"/>
    <x v="1"/>
  </r>
  <r>
    <x v="8"/>
    <n v="2025009"/>
    <x v="134"/>
    <x v="0"/>
    <x v="2"/>
    <s v="Pietermaritzburg"/>
    <x v="4"/>
    <n v="580"/>
    <n v="180"/>
    <n v="104400"/>
    <n v="20880"/>
    <n v="0.2"/>
    <x v="2"/>
  </r>
  <r>
    <x v="8"/>
    <n v="2025009"/>
    <x v="135"/>
    <x v="0"/>
    <x v="2"/>
    <s v="Pietermaritzburg"/>
    <x v="5"/>
    <n v="620"/>
    <n v="200"/>
    <n v="124000"/>
    <n v="12400"/>
    <n v="0.1"/>
    <x v="2"/>
  </r>
  <r>
    <x v="9"/>
    <n v="2025010"/>
    <x v="74"/>
    <x v="0"/>
    <x v="3"/>
    <s v="Mthatha"/>
    <x v="0"/>
    <n v="510"/>
    <n v="150"/>
    <n v="76500"/>
    <n v="30600"/>
    <n v="0.4"/>
    <x v="0"/>
  </r>
  <r>
    <x v="9"/>
    <n v="2025010"/>
    <x v="136"/>
    <x v="0"/>
    <x v="3"/>
    <s v="Mthatha"/>
    <x v="1"/>
    <n v="540"/>
    <n v="140"/>
    <n v="75600"/>
    <n v="25727"/>
    <n v="0.34"/>
    <x v="0"/>
  </r>
  <r>
    <x v="0"/>
    <n v="2025001"/>
    <x v="137"/>
    <x v="0"/>
    <x v="4"/>
    <s v="Welkom"/>
    <x v="2"/>
    <n v="620"/>
    <n v="160"/>
    <n v="99200"/>
    <n v="34720"/>
    <n v="0.35"/>
    <x v="0"/>
  </r>
  <r>
    <x v="0"/>
    <n v="2025001"/>
    <x v="138"/>
    <x v="0"/>
    <x v="4"/>
    <s v="Welkom"/>
    <x v="3"/>
    <n v="650"/>
    <n v="150"/>
    <n v="97500"/>
    <n v="48750"/>
    <n v="0.5"/>
    <x v="0"/>
  </r>
  <r>
    <x v="1"/>
    <n v="2025002"/>
    <x v="139"/>
    <x v="0"/>
    <x v="5"/>
    <s v="Mahikeng"/>
    <x v="4"/>
    <n v="470"/>
    <n v="130"/>
    <n v="61100"/>
    <n v="27495"/>
    <n v="0.45"/>
    <x v="1"/>
  </r>
  <r>
    <x v="1"/>
    <n v="2025002"/>
    <x v="140"/>
    <x v="0"/>
    <x v="5"/>
    <s v="Mahikeng"/>
    <x v="5"/>
    <n v="500"/>
    <n v="120"/>
    <n v="60000"/>
    <n v="42000"/>
    <n v="0.7"/>
    <x v="1"/>
  </r>
  <r>
    <x v="2"/>
    <n v="2025003"/>
    <x v="141"/>
    <x v="0"/>
    <x v="6"/>
    <s v="Lebowakgomo"/>
    <x v="2"/>
    <n v="1080"/>
    <n v="100"/>
    <n v="108000"/>
    <n v="48600"/>
    <n v="0.45"/>
    <x v="2"/>
  </r>
  <r>
    <x v="2"/>
    <n v="2025003"/>
    <x v="142"/>
    <x v="0"/>
    <x v="6"/>
    <s v="Lebowakgomo"/>
    <x v="3"/>
    <n v="1120"/>
    <n v="95"/>
    <n v="106400"/>
    <n v="54264"/>
    <n v="0.51"/>
    <x v="2"/>
  </r>
  <r>
    <x v="3"/>
    <n v="2025004"/>
    <x v="92"/>
    <x v="0"/>
    <x v="7"/>
    <s v="Secunda"/>
    <x v="0"/>
    <n v="390"/>
    <n v="110"/>
    <n v="42900"/>
    <n v="21450"/>
    <n v="0.5"/>
    <x v="1"/>
  </r>
  <r>
    <x v="3"/>
    <n v="2025004"/>
    <x v="99"/>
    <x v="0"/>
    <x v="7"/>
    <s v="Secunda"/>
    <x v="1"/>
    <n v="420"/>
    <n v="100"/>
    <n v="42000"/>
    <n v="16800"/>
    <n v="0.4"/>
    <x v="1"/>
  </r>
  <r>
    <x v="4"/>
    <n v="2025005"/>
    <x v="51"/>
    <x v="0"/>
    <x v="8"/>
    <s v="Danielskuil"/>
    <x v="2"/>
    <n v="480"/>
    <n v="85"/>
    <n v="40800"/>
    <n v="13872"/>
    <n v="0.34"/>
    <x v="0"/>
  </r>
  <r>
    <x v="4"/>
    <n v="2025005"/>
    <x v="143"/>
    <x v="0"/>
    <x v="8"/>
    <s v="Danielskuil"/>
    <x v="3"/>
    <n v="510"/>
    <n v="80"/>
    <n v="40800"/>
    <n v="22032"/>
    <n v="0.54"/>
    <x v="0"/>
  </r>
  <r>
    <x v="5"/>
    <n v="2025006"/>
    <x v="35"/>
    <x v="0"/>
    <x v="0"/>
    <s v="Soweto"/>
    <x v="4"/>
    <n v="980"/>
    <n v="230"/>
    <n v="225400"/>
    <n v="135240"/>
    <n v="0.6"/>
    <x v="2"/>
  </r>
  <r>
    <x v="5"/>
    <n v="2025006"/>
    <x v="36"/>
    <x v="0"/>
    <x v="0"/>
    <s v="Soweto"/>
    <x v="5"/>
    <n v="1020"/>
    <n v="250"/>
    <n v="255000"/>
    <n v="178500"/>
    <n v="0.7"/>
    <x v="2"/>
  </r>
  <r>
    <x v="6"/>
    <n v="2025007"/>
    <x v="31"/>
    <x v="0"/>
    <x v="1"/>
    <s v="George"/>
    <x v="0"/>
    <n v="710"/>
    <n v="170"/>
    <n v="120700"/>
    <n v="48280"/>
    <n v="0.4"/>
    <x v="0"/>
  </r>
  <r>
    <x v="6"/>
    <n v="2025007"/>
    <x v="32"/>
    <x v="0"/>
    <x v="1"/>
    <s v="George"/>
    <x v="1"/>
    <n v="750"/>
    <n v="160"/>
    <n v="120000"/>
    <n v="36000"/>
    <n v="0.3"/>
    <x v="0"/>
  </r>
  <r>
    <x v="7"/>
    <n v="2025008"/>
    <x v="127"/>
    <x v="0"/>
    <x v="2"/>
    <s v="Ulundi"/>
    <x v="2"/>
    <n v="320"/>
    <n v="95"/>
    <n v="30400"/>
    <n v="16720"/>
    <n v="0.55000000000000004"/>
    <x v="1"/>
  </r>
  <r>
    <x v="7"/>
    <n v="2025008"/>
    <x v="128"/>
    <x v="0"/>
    <x v="2"/>
    <s v="Ulundi"/>
    <x v="3"/>
    <n v="340"/>
    <n v="90"/>
    <n v="30600"/>
    <n v="18360"/>
    <n v="0.6"/>
    <x v="1"/>
  </r>
  <r>
    <x v="8"/>
    <n v="2025009"/>
    <x v="27"/>
    <x v="0"/>
    <x v="4"/>
    <s v="Sasolburg"/>
    <x v="4"/>
    <n v="520"/>
    <n v="120"/>
    <n v="62400"/>
    <n v="12480"/>
    <n v="0.2"/>
    <x v="2"/>
  </r>
  <r>
    <x v="8"/>
    <n v="2025009"/>
    <x v="28"/>
    <x v="0"/>
    <x v="4"/>
    <s v="Sasolburg"/>
    <x v="5"/>
    <n v="540"/>
    <n v="130"/>
    <n v="70200"/>
    <n v="5616"/>
    <n v="0.08"/>
    <x v="2"/>
  </r>
  <r>
    <x v="9"/>
    <n v="2025010"/>
    <x v="144"/>
    <x v="0"/>
    <x v="5"/>
    <s v="Lichtenburg"/>
    <x v="2"/>
    <n v="440"/>
    <n v="95"/>
    <n v="41800"/>
    <n v="16720"/>
    <n v="0.4"/>
    <x v="0"/>
  </r>
  <r>
    <x v="9"/>
    <n v="2025010"/>
    <x v="145"/>
    <x v="0"/>
    <x v="5"/>
    <s v="Lichtenburg"/>
    <x v="3"/>
    <n v="460"/>
    <n v="90"/>
    <n v="41400"/>
    <n v="20700"/>
    <n v="0.5"/>
    <x v="0"/>
  </r>
  <r>
    <x v="0"/>
    <n v="2025001"/>
    <x v="63"/>
    <x v="0"/>
    <x v="6"/>
    <s v="Tzaneen"/>
    <x v="0"/>
    <n v="750"/>
    <n v="200"/>
    <n v="150000"/>
    <n v="75000"/>
    <n v="0.5"/>
    <x v="0"/>
  </r>
  <r>
    <x v="0"/>
    <n v="2025001"/>
    <x v="64"/>
    <x v="0"/>
    <x v="6"/>
    <s v="Tzaneen"/>
    <x v="1"/>
    <n v="790"/>
    <n v="180"/>
    <n v="142200"/>
    <n v="38394"/>
    <n v="0.27"/>
    <x v="0"/>
  </r>
  <r>
    <x v="1"/>
    <n v="2025002"/>
    <x v="146"/>
    <x v="0"/>
    <x v="7"/>
    <s v="Middelburg"/>
    <x v="2"/>
    <n v="440"/>
    <n v="180"/>
    <n v="79200"/>
    <n v="39600"/>
    <n v="0.5"/>
    <x v="1"/>
  </r>
  <r>
    <x v="1"/>
    <n v="2025002"/>
    <x v="147"/>
    <x v="0"/>
    <x v="7"/>
    <s v="Middelburg"/>
    <x v="3"/>
    <n v="470"/>
    <n v="170"/>
    <n v="79900"/>
    <n v="49538"/>
    <n v="0.6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59:B63" firstHeaderRow="1" firstDataRow="1" firstDataCol="1"/>
  <pivotFields count="14">
    <pivotField showAll="0"/>
    <pivotField showAll="0"/>
    <pivotField numFmtId="164" showAll="0"/>
    <pivotField showAll="0">
      <items count="2">
        <item x="0"/>
        <item t="default"/>
      </items>
    </pivotField>
    <pivotField showAll="0"/>
    <pivotField showAll="0"/>
    <pivotField showAll="0">
      <items count="7">
        <item x="4"/>
        <item x="1"/>
        <item x="0"/>
        <item x="5"/>
        <item x="3"/>
        <item x="2"/>
        <item t="default"/>
      </items>
    </pivotField>
    <pivotField showAll="0"/>
    <pivotField showAll="0"/>
    <pivotField dataField="1" showAll="0"/>
    <pivotField showAll="0"/>
    <pivotField numFmtId="9" showAll="0"/>
    <pivotField axis="axisRow" showAll="0">
      <items count="4">
        <item x="2"/>
        <item x="1"/>
        <item x="0"/>
        <item t="default"/>
      </items>
    </pivotField>
    <pivotField showAll="0" defaultSubtotal="0">
      <items count="14">
        <item x="0"/>
        <item x="1"/>
        <item x="2"/>
        <item x="3"/>
        <item x="4"/>
        <item x="5"/>
        <item x="6"/>
        <item x="7"/>
        <item x="8"/>
        <item x="9"/>
        <item x="10"/>
        <item x="11"/>
        <item x="12"/>
        <item x="13"/>
      </items>
    </pivotField>
  </pivotFields>
  <rowFields count="1">
    <field x="12"/>
  </rowFields>
  <rowItems count="4">
    <i>
      <x/>
    </i>
    <i>
      <x v="1"/>
    </i>
    <i>
      <x v="2"/>
    </i>
    <i t="grand">
      <x/>
    </i>
  </rowItems>
  <colItems count="1">
    <i/>
  </colItems>
  <dataFields count="1">
    <dataField name="Sum of Total Sales (R)" fld="9" baseField="0" baseItem="0"/>
  </dataFields>
  <chartFormats count="8">
    <chartFormat chart="1" format="1">
      <pivotArea type="data" outline="0" fieldPosition="0">
        <references count="2">
          <reference field="4294967294" count="1" selected="0">
            <x v="0"/>
          </reference>
          <reference field="12" count="1" selected="0">
            <x v="0"/>
          </reference>
        </references>
      </pivotArea>
    </chartFormat>
    <chartFormat chart="1" format="2">
      <pivotArea type="data" outline="0" fieldPosition="0">
        <references count="2">
          <reference field="4294967294" count="1" selected="0">
            <x v="0"/>
          </reference>
          <reference field="12" count="1" selected="0">
            <x v="1"/>
          </reference>
        </references>
      </pivotArea>
    </chartFormat>
    <chartFormat chart="1" format="3">
      <pivotArea type="data" outline="0" fieldPosition="0">
        <references count="2">
          <reference field="4294967294" count="1" selected="0">
            <x v="0"/>
          </reference>
          <reference field="12"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2" count="1" selected="0">
            <x v="0"/>
          </reference>
        </references>
      </pivotArea>
    </chartFormat>
    <chartFormat chart="6" format="10">
      <pivotArea type="data" outline="0" fieldPosition="0">
        <references count="2">
          <reference field="4294967294" count="1" selected="0">
            <x v="0"/>
          </reference>
          <reference field="12" count="1" selected="0">
            <x v="1"/>
          </reference>
        </references>
      </pivotArea>
    </chartFormat>
    <chartFormat chart="6" format="11">
      <pivotArea type="data" outline="0" fieldPosition="0">
        <references count="2">
          <reference field="4294967294" count="1" selected="0">
            <x v="0"/>
          </reference>
          <reference field="12" count="1" selected="0">
            <x v="2"/>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41:B52" firstHeaderRow="1" firstDataRow="1" firstDataCol="1"/>
  <pivotFields count="14">
    <pivotField axis="axisRow" showAll="0" sortType="ascending">
      <items count="11">
        <item x="4"/>
        <item x="9"/>
        <item x="8"/>
        <item x="7"/>
        <item x="3"/>
        <item x="6"/>
        <item x="5"/>
        <item x="1"/>
        <item x="0"/>
        <item x="2"/>
        <item t="default"/>
      </items>
      <autoSortScope>
        <pivotArea dataOnly="0" outline="0" fieldPosition="0">
          <references count="1">
            <reference field="4294967294" count="1" selected="0">
              <x v="0"/>
            </reference>
          </references>
        </pivotArea>
      </autoSortScope>
    </pivotField>
    <pivotField showAll="0"/>
    <pivotField numFmtId="164" showAll="0"/>
    <pivotField showAll="0">
      <items count="2">
        <item x="0"/>
        <item t="default"/>
      </items>
    </pivotField>
    <pivotField showAll="0"/>
    <pivotField showAll="0"/>
    <pivotField showAll="0">
      <items count="7">
        <item x="4"/>
        <item x="1"/>
        <item x="0"/>
        <item x="5"/>
        <item x="3"/>
        <item x="2"/>
        <item t="default"/>
      </items>
    </pivotField>
    <pivotField showAll="0"/>
    <pivotField showAll="0"/>
    <pivotField dataField="1" showAll="0"/>
    <pivotField showAll="0"/>
    <pivotField numFmtId="9" showAll="0"/>
    <pivotField showAll="0"/>
    <pivotField showAll="0" defaultSubtotal="0">
      <items count="14">
        <item x="0"/>
        <item x="1"/>
        <item x="2"/>
        <item x="3"/>
        <item x="4"/>
        <item x="5"/>
        <item x="6"/>
        <item x="7"/>
        <item x="8"/>
        <item x="9"/>
        <item x="10"/>
        <item x="11"/>
        <item x="12"/>
        <item x="13"/>
      </items>
    </pivotField>
  </pivotFields>
  <rowFields count="1">
    <field x="0"/>
  </rowFields>
  <rowItems count="11">
    <i>
      <x v="3"/>
    </i>
    <i>
      <x v="2"/>
    </i>
    <i>
      <x/>
    </i>
    <i>
      <x v="4"/>
    </i>
    <i>
      <x v="1"/>
    </i>
    <i>
      <x v="5"/>
    </i>
    <i>
      <x v="6"/>
    </i>
    <i>
      <x v="9"/>
    </i>
    <i>
      <x v="7"/>
    </i>
    <i>
      <x v="8"/>
    </i>
    <i t="grand">
      <x/>
    </i>
  </rowItems>
  <colItems count="1">
    <i/>
  </colItems>
  <dataFields count="1">
    <dataField name="Sum of Total Sales (R)" fld="9" baseField="0" baseItem="0"/>
  </dataFields>
  <chartFormats count="4">
    <chartFormat chart="1"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5" firstHeaderRow="1" firstDataRow="1" firstDataCol="1"/>
  <pivotFields count="14">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2">
        <item x="0"/>
        <item t="default"/>
      </items>
    </pivotField>
    <pivotField showAll="0"/>
    <pivotField showAll="0"/>
    <pivotField showAll="0">
      <items count="7">
        <item x="4"/>
        <item x="1"/>
        <item x="0"/>
        <item x="5"/>
        <item x="3"/>
        <item x="2"/>
        <item t="default"/>
      </items>
    </pivotField>
    <pivotField showAll="0"/>
    <pivotField showAll="0"/>
    <pivotField dataField="1" showAll="0"/>
    <pivotField showAll="0"/>
    <pivotField numFmtId="9"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13"/>
  </rowFields>
  <rowItems count="12">
    <i>
      <x v="1"/>
    </i>
    <i>
      <x v="2"/>
    </i>
    <i>
      <x v="3"/>
    </i>
    <i>
      <x v="4"/>
    </i>
    <i>
      <x v="5"/>
    </i>
    <i>
      <x v="6"/>
    </i>
    <i>
      <x v="7"/>
    </i>
    <i>
      <x v="8"/>
    </i>
    <i>
      <x v="9"/>
    </i>
    <i>
      <x v="10"/>
    </i>
    <i>
      <x v="11"/>
    </i>
    <i t="grand">
      <x/>
    </i>
  </rowItems>
  <colItems count="1">
    <i/>
  </colItems>
  <dataFields count="1">
    <dataField name="Sum of Total Sales (R)" fld="9" baseField="0" baseItem="0" numFmtId="165"/>
  </dataFields>
  <formats count="2">
    <format dxfId="73">
      <pivotArea outline="0" collapsedLevelsAreSubtotals="1" fieldPosition="0"/>
    </format>
    <format dxfId="72">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2:B32" firstHeaderRow="1" firstDataRow="1" firstDataCol="1"/>
  <pivotFields count="14">
    <pivotField showAll="0"/>
    <pivotField showAll="0"/>
    <pivotField numFmtId="164" showAll="0"/>
    <pivotField showAll="0">
      <items count="2">
        <item x="0"/>
        <item t="default"/>
      </items>
    </pivotField>
    <pivotField axis="axisRow" showAll="0">
      <items count="10">
        <item x="3"/>
        <item x="4"/>
        <item x="0"/>
        <item x="2"/>
        <item x="6"/>
        <item x="7"/>
        <item x="5"/>
        <item x="8"/>
        <item x="1"/>
        <item t="default"/>
      </items>
    </pivotField>
    <pivotField showAll="0"/>
    <pivotField showAll="0">
      <items count="7">
        <item x="4"/>
        <item x="1"/>
        <item x="0"/>
        <item x="5"/>
        <item x="3"/>
        <item x="2"/>
        <item t="default"/>
      </items>
    </pivotField>
    <pivotField showAll="0"/>
    <pivotField showAll="0"/>
    <pivotField dataField="1" showAll="0"/>
    <pivotField showAll="0"/>
    <pivotField numFmtId="9" showAll="0"/>
    <pivotField showAll="0"/>
    <pivotField showAll="0" defaultSubtotal="0">
      <items count="14">
        <item x="0"/>
        <item x="1"/>
        <item x="2"/>
        <item x="3"/>
        <item x="4"/>
        <item x="5"/>
        <item x="6"/>
        <item x="7"/>
        <item x="8"/>
        <item x="9"/>
        <item x="10"/>
        <item x="11"/>
        <item x="12"/>
        <item x="13"/>
      </items>
    </pivotField>
  </pivotFields>
  <rowFields count="1">
    <field x="4"/>
  </rowFields>
  <rowItems count="10">
    <i>
      <x/>
    </i>
    <i>
      <x v="1"/>
    </i>
    <i>
      <x v="2"/>
    </i>
    <i>
      <x v="3"/>
    </i>
    <i>
      <x v="4"/>
    </i>
    <i>
      <x v="5"/>
    </i>
    <i>
      <x v="6"/>
    </i>
    <i>
      <x v="7"/>
    </i>
    <i>
      <x v="8"/>
    </i>
    <i t="grand">
      <x/>
    </i>
  </rowItems>
  <colItems count="1">
    <i/>
  </colItems>
  <dataFields count="1">
    <dataField name="Sum of Total Sales (R)" fld="9" baseField="0" baseItem="0" numFmtId="165"/>
  </dataFields>
  <formats count="1">
    <format dxfId="7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 tabId="3" name="PivotTable4"/>
  </pivotTables>
  <data>
    <tabular pivotCacheId="1">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3" name="PivotTable1"/>
    <pivotTable tabId="3" name="PivotTable2"/>
    <pivotTable tabId="3" name="PivotTable3"/>
    <pivotTable tabId="3" name="PivotTable4"/>
  </pivotTables>
  <data>
    <tabular pivotCacheId="1">
      <items count="6">
        <i x="4" s="1"/>
        <i x="1" s="1"/>
        <i x="0" s="1"/>
        <i x="5"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3" name="PivotTable1"/>
    <pivotTable tabId="3" name="PivotTable2"/>
    <pivotTable tabId="3" name="PivotTable3"/>
    <pivotTable tabId="3" name="PivotTable4"/>
  </pivotTables>
  <data>
    <tabular pivotCacheId="1">
      <items count="14">
        <i x="1" s="1"/>
        <i x="2" s="1"/>
        <i x="3" s="1"/>
        <i x="4" s="1"/>
        <i x="5" s="1"/>
        <i x="6" s="1"/>
        <i x="7" s="1"/>
        <i x="8" s="1"/>
        <i x="9" s="1"/>
        <i x="10" s="1"/>
        <i x="11" s="1"/>
        <i x="12" s="1" nd="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yle="SlicerStyleDark6" rowHeight="241300"/>
  <slicer name="Product" cache="Slicer_Product" caption="Product" columnCount="2" style="SlicerStyleDark6" rowHeight="241300"/>
  <slicer name="Months" cache="Slicer_Months" caption="Months" columnCount="2"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4"/>
  <sheetViews>
    <sheetView showGridLines="0" workbookViewId="0">
      <selection activeCell="E3" sqref="E3"/>
    </sheetView>
  </sheetViews>
  <sheetFormatPr defaultRowHeight="15" x14ac:dyDescent="0.25"/>
  <cols>
    <col min="1" max="1" width="13.5703125" bestFit="1" customWidth="1"/>
    <col min="2" max="2" width="10.28515625" bestFit="1" customWidth="1"/>
    <col min="3" max="3" width="12" bestFit="1" customWidth="1"/>
    <col min="4" max="4" width="14.85546875" bestFit="1" customWidth="1"/>
    <col min="5" max="5" width="14.140625" bestFit="1" customWidth="1"/>
    <col min="6" max="6" width="16.140625" bestFit="1" customWidth="1"/>
    <col min="7" max="7" width="26.140625" bestFit="1" customWidth="1"/>
    <col min="8" max="8" width="16.140625" bestFit="1" customWidth="1"/>
    <col min="9" max="9" width="9.85546875" bestFit="1" customWidth="1"/>
    <col min="10" max="10" width="13.5703125" bestFit="1" customWidth="1"/>
    <col min="11" max="11" width="18.5703125" bestFit="1" customWidth="1"/>
    <col min="12" max="12" width="16.5703125" bestFit="1" customWidth="1"/>
    <col min="13" max="13" width="13.140625" bestFit="1" customWidth="1"/>
  </cols>
  <sheetData>
    <row r="1" spans="1:13" ht="23.25" customHeight="1" x14ac:dyDescent="0.25">
      <c r="A1" s="9" t="s">
        <v>82</v>
      </c>
      <c r="B1" s="9"/>
      <c r="C1" s="9"/>
      <c r="D1" s="9"/>
      <c r="E1" s="9"/>
      <c r="F1" s="9"/>
      <c r="G1" s="9"/>
      <c r="H1" s="9"/>
      <c r="I1" s="9"/>
      <c r="J1" s="9"/>
      <c r="K1" s="9"/>
      <c r="L1" s="9"/>
      <c r="M1" s="9"/>
    </row>
    <row r="2" spans="1:13" ht="23.25" customHeight="1" x14ac:dyDescent="0.25">
      <c r="A2" s="9"/>
      <c r="B2" s="9"/>
      <c r="C2" s="9"/>
      <c r="D2" s="9"/>
      <c r="E2" s="9"/>
      <c r="F2" s="9"/>
      <c r="G2" s="9"/>
      <c r="H2" s="9"/>
      <c r="I2" s="9"/>
      <c r="J2" s="9"/>
      <c r="K2" s="9"/>
      <c r="L2" s="9"/>
      <c r="M2" s="9"/>
    </row>
    <row r="4" spans="1:13" x14ac:dyDescent="0.25">
      <c r="A4" s="3" t="s">
        <v>0</v>
      </c>
      <c r="B4" s="3" t="s">
        <v>1</v>
      </c>
      <c r="C4" s="3" t="s">
        <v>2</v>
      </c>
      <c r="D4" s="3" t="s">
        <v>3</v>
      </c>
      <c r="E4" s="3" t="s">
        <v>4</v>
      </c>
      <c r="F4" s="3" t="s">
        <v>5</v>
      </c>
      <c r="G4" s="3" t="s">
        <v>6</v>
      </c>
      <c r="H4" s="3" t="s">
        <v>7</v>
      </c>
      <c r="I4" s="3" t="s">
        <v>8</v>
      </c>
      <c r="J4" s="3" t="s">
        <v>9</v>
      </c>
      <c r="K4" s="3" t="s">
        <v>10</v>
      </c>
      <c r="L4" s="3" t="s">
        <v>11</v>
      </c>
      <c r="M4" s="3" t="s">
        <v>12</v>
      </c>
    </row>
    <row r="5" spans="1:13" x14ac:dyDescent="0.25">
      <c r="A5" t="s">
        <v>13</v>
      </c>
      <c r="B5">
        <v>2025001</v>
      </c>
      <c r="C5" s="1">
        <v>45306</v>
      </c>
      <c r="D5" t="s">
        <v>14</v>
      </c>
      <c r="E5" t="s">
        <v>15</v>
      </c>
      <c r="F5" t="s">
        <v>16</v>
      </c>
      <c r="G5" t="s">
        <v>17</v>
      </c>
      <c r="H5">
        <v>750</v>
      </c>
      <c r="I5">
        <v>850</v>
      </c>
      <c r="J5">
        <v>637500</v>
      </c>
      <c r="K5">
        <v>255000</v>
      </c>
      <c r="L5" s="2">
        <v>0.4</v>
      </c>
      <c r="M5" t="s">
        <v>18</v>
      </c>
    </row>
    <row r="6" spans="1:13" x14ac:dyDescent="0.25">
      <c r="A6" t="s">
        <v>13</v>
      </c>
      <c r="B6">
        <v>2025001</v>
      </c>
      <c r="C6" s="1">
        <v>45307</v>
      </c>
      <c r="D6" t="s">
        <v>14</v>
      </c>
      <c r="E6" t="s">
        <v>15</v>
      </c>
      <c r="F6" t="s">
        <v>16</v>
      </c>
      <c r="G6" t="s">
        <v>19</v>
      </c>
      <c r="H6">
        <v>800</v>
      </c>
      <c r="I6">
        <v>720</v>
      </c>
      <c r="J6">
        <v>576000</v>
      </c>
      <c r="K6">
        <v>172800</v>
      </c>
      <c r="L6" s="2">
        <v>0.3</v>
      </c>
      <c r="M6" t="s">
        <v>18</v>
      </c>
    </row>
    <row r="7" spans="1:13" x14ac:dyDescent="0.25">
      <c r="A7" t="s">
        <v>13</v>
      </c>
      <c r="B7">
        <v>2025001</v>
      </c>
      <c r="C7" s="1">
        <v>45308</v>
      </c>
      <c r="D7" t="s">
        <v>14</v>
      </c>
      <c r="E7" t="s">
        <v>15</v>
      </c>
      <c r="F7" t="s">
        <v>16</v>
      </c>
      <c r="G7" t="s">
        <v>20</v>
      </c>
      <c r="H7">
        <v>650</v>
      </c>
      <c r="I7">
        <v>820</v>
      </c>
      <c r="J7">
        <v>533000</v>
      </c>
      <c r="K7">
        <v>186550</v>
      </c>
      <c r="L7" s="2">
        <v>0.35</v>
      </c>
      <c r="M7" t="s">
        <v>18</v>
      </c>
    </row>
    <row r="8" spans="1:13" x14ac:dyDescent="0.25">
      <c r="A8" t="s">
        <v>13</v>
      </c>
      <c r="B8">
        <v>2025001</v>
      </c>
      <c r="C8" s="1">
        <v>45309</v>
      </c>
      <c r="D8" t="s">
        <v>14</v>
      </c>
      <c r="E8" t="s">
        <v>15</v>
      </c>
      <c r="F8" t="s">
        <v>16</v>
      </c>
      <c r="G8" t="s">
        <v>21</v>
      </c>
      <c r="H8">
        <v>700</v>
      </c>
      <c r="I8">
        <v>750</v>
      </c>
      <c r="J8">
        <v>525000</v>
      </c>
      <c r="K8">
        <v>183750</v>
      </c>
      <c r="L8" s="2">
        <v>0.35</v>
      </c>
      <c r="M8" t="s">
        <v>18</v>
      </c>
    </row>
    <row r="9" spans="1:13" x14ac:dyDescent="0.25">
      <c r="A9" t="s">
        <v>13</v>
      </c>
      <c r="B9">
        <v>2025001</v>
      </c>
      <c r="C9" s="1">
        <v>45310</v>
      </c>
      <c r="D9" t="s">
        <v>14</v>
      </c>
      <c r="E9" t="s">
        <v>15</v>
      </c>
      <c r="F9" t="s">
        <v>16</v>
      </c>
      <c r="G9" t="s">
        <v>22</v>
      </c>
      <c r="H9">
        <v>900</v>
      </c>
      <c r="I9">
        <v>680</v>
      </c>
      <c r="J9">
        <v>612000</v>
      </c>
      <c r="K9">
        <v>183600</v>
      </c>
      <c r="L9" s="2">
        <v>0.3</v>
      </c>
      <c r="M9" t="s">
        <v>18</v>
      </c>
    </row>
    <row r="10" spans="1:13" x14ac:dyDescent="0.25">
      <c r="A10" t="s">
        <v>13</v>
      </c>
      <c r="B10">
        <v>2025001</v>
      </c>
      <c r="C10" s="1">
        <v>45311</v>
      </c>
      <c r="D10" t="s">
        <v>14</v>
      </c>
      <c r="E10" t="s">
        <v>15</v>
      </c>
      <c r="F10" t="s">
        <v>16</v>
      </c>
      <c r="G10" t="s">
        <v>23</v>
      </c>
      <c r="H10">
        <v>950</v>
      </c>
      <c r="I10">
        <v>710</v>
      </c>
      <c r="J10">
        <v>674500</v>
      </c>
      <c r="K10">
        <v>168625</v>
      </c>
      <c r="L10" s="2">
        <v>0.25</v>
      </c>
      <c r="M10" t="s">
        <v>18</v>
      </c>
    </row>
    <row r="11" spans="1:13" x14ac:dyDescent="0.25">
      <c r="A11" t="s">
        <v>24</v>
      </c>
      <c r="B11">
        <v>2025002</v>
      </c>
      <c r="C11" s="1">
        <v>45327</v>
      </c>
      <c r="D11" t="s">
        <v>14</v>
      </c>
      <c r="E11" t="s">
        <v>25</v>
      </c>
      <c r="F11" t="s">
        <v>26</v>
      </c>
      <c r="G11" t="s">
        <v>17</v>
      </c>
      <c r="H11">
        <v>1200</v>
      </c>
      <c r="I11">
        <v>1050</v>
      </c>
      <c r="J11">
        <v>1260000</v>
      </c>
      <c r="K11">
        <v>630000</v>
      </c>
      <c r="L11" s="2">
        <v>0.5</v>
      </c>
      <c r="M11" t="s">
        <v>27</v>
      </c>
    </row>
    <row r="12" spans="1:13" x14ac:dyDescent="0.25">
      <c r="A12" t="s">
        <v>24</v>
      </c>
      <c r="B12">
        <v>2025002</v>
      </c>
      <c r="C12" s="1">
        <v>45328</v>
      </c>
      <c r="D12" t="s">
        <v>14</v>
      </c>
      <c r="E12" t="s">
        <v>25</v>
      </c>
      <c r="F12" t="s">
        <v>26</v>
      </c>
      <c r="G12" t="s">
        <v>19</v>
      </c>
      <c r="H12">
        <v>1100</v>
      </c>
      <c r="I12">
        <v>920</v>
      </c>
      <c r="J12">
        <v>1012000</v>
      </c>
      <c r="K12">
        <v>303600</v>
      </c>
      <c r="L12" s="2">
        <v>0.3</v>
      </c>
      <c r="M12" t="s">
        <v>27</v>
      </c>
    </row>
    <row r="13" spans="1:13" x14ac:dyDescent="0.25">
      <c r="A13" t="s">
        <v>24</v>
      </c>
      <c r="B13">
        <v>2025002</v>
      </c>
      <c r="C13" s="1">
        <v>45329</v>
      </c>
      <c r="D13" t="s">
        <v>14</v>
      </c>
      <c r="E13" t="s">
        <v>25</v>
      </c>
      <c r="F13" t="s">
        <v>26</v>
      </c>
      <c r="G13" t="s">
        <v>20</v>
      </c>
      <c r="H13">
        <v>980</v>
      </c>
      <c r="I13">
        <v>900</v>
      </c>
      <c r="J13">
        <v>882000</v>
      </c>
      <c r="K13">
        <v>308700</v>
      </c>
      <c r="L13" s="2">
        <v>0.35</v>
      </c>
      <c r="M13" t="s">
        <v>27</v>
      </c>
    </row>
    <row r="14" spans="1:13" x14ac:dyDescent="0.25">
      <c r="A14" t="s">
        <v>24</v>
      </c>
      <c r="B14">
        <v>2025002</v>
      </c>
      <c r="C14" s="1">
        <v>45330</v>
      </c>
      <c r="D14" t="s">
        <v>14</v>
      </c>
      <c r="E14" t="s">
        <v>25</v>
      </c>
      <c r="F14" t="s">
        <v>26</v>
      </c>
      <c r="G14" t="s">
        <v>21</v>
      </c>
      <c r="H14">
        <v>1050</v>
      </c>
      <c r="I14">
        <v>850</v>
      </c>
      <c r="J14">
        <v>892500</v>
      </c>
      <c r="K14">
        <v>312375</v>
      </c>
      <c r="L14" s="2">
        <v>0.35</v>
      </c>
      <c r="M14" t="s">
        <v>27</v>
      </c>
    </row>
    <row r="15" spans="1:13" x14ac:dyDescent="0.25">
      <c r="A15" t="s">
        <v>28</v>
      </c>
      <c r="B15">
        <v>2025003</v>
      </c>
      <c r="C15" s="1">
        <v>45363</v>
      </c>
      <c r="D15" t="s">
        <v>14</v>
      </c>
      <c r="E15" t="s">
        <v>29</v>
      </c>
      <c r="F15" t="s">
        <v>30</v>
      </c>
      <c r="G15" t="s">
        <v>17</v>
      </c>
      <c r="H15">
        <v>1350</v>
      </c>
      <c r="I15">
        <v>620</v>
      </c>
      <c r="J15">
        <v>837000</v>
      </c>
      <c r="K15">
        <v>418500</v>
      </c>
      <c r="L15" s="2">
        <v>0.5</v>
      </c>
      <c r="M15" t="s">
        <v>31</v>
      </c>
    </row>
    <row r="16" spans="1:13" x14ac:dyDescent="0.25">
      <c r="A16" t="s">
        <v>28</v>
      </c>
      <c r="B16">
        <v>2025003</v>
      </c>
      <c r="C16" s="1">
        <v>45364</v>
      </c>
      <c r="D16" t="s">
        <v>14</v>
      </c>
      <c r="E16" t="s">
        <v>29</v>
      </c>
      <c r="F16" t="s">
        <v>30</v>
      </c>
      <c r="G16" t="s">
        <v>19</v>
      </c>
      <c r="H16">
        <v>1250</v>
      </c>
      <c r="I16">
        <v>580</v>
      </c>
      <c r="J16">
        <v>725000</v>
      </c>
      <c r="K16">
        <v>217500</v>
      </c>
      <c r="L16" s="2">
        <v>0.3</v>
      </c>
      <c r="M16" t="s">
        <v>31</v>
      </c>
    </row>
    <row r="17" spans="1:13" x14ac:dyDescent="0.25">
      <c r="A17" t="s">
        <v>28</v>
      </c>
      <c r="B17">
        <v>2025003</v>
      </c>
      <c r="C17" s="1">
        <v>45365</v>
      </c>
      <c r="D17" t="s">
        <v>14</v>
      </c>
      <c r="E17" t="s">
        <v>29</v>
      </c>
      <c r="F17" t="s">
        <v>30</v>
      </c>
      <c r="G17" t="s">
        <v>20</v>
      </c>
      <c r="H17">
        <v>1100</v>
      </c>
      <c r="I17">
        <v>600</v>
      </c>
      <c r="J17">
        <v>660000</v>
      </c>
      <c r="K17">
        <v>231000</v>
      </c>
      <c r="L17" s="2">
        <v>0.35</v>
      </c>
      <c r="M17" t="s">
        <v>31</v>
      </c>
    </row>
    <row r="18" spans="1:13" x14ac:dyDescent="0.25">
      <c r="A18" t="s">
        <v>28</v>
      </c>
      <c r="B18">
        <v>2025003</v>
      </c>
      <c r="C18" s="1">
        <v>45366</v>
      </c>
      <c r="D18" t="s">
        <v>14</v>
      </c>
      <c r="E18" t="s">
        <v>29</v>
      </c>
      <c r="F18" t="s">
        <v>30</v>
      </c>
      <c r="G18" t="s">
        <v>21</v>
      </c>
      <c r="H18">
        <v>1150</v>
      </c>
      <c r="I18">
        <v>550</v>
      </c>
      <c r="J18">
        <v>632500</v>
      </c>
      <c r="K18">
        <v>221375</v>
      </c>
      <c r="L18" s="2">
        <v>0.35</v>
      </c>
      <c r="M18" t="s">
        <v>31</v>
      </c>
    </row>
    <row r="19" spans="1:13" x14ac:dyDescent="0.25">
      <c r="A19" t="s">
        <v>32</v>
      </c>
      <c r="B19">
        <v>2025004</v>
      </c>
      <c r="C19" s="1">
        <v>45404</v>
      </c>
      <c r="D19" t="s">
        <v>14</v>
      </c>
      <c r="E19" t="s">
        <v>33</v>
      </c>
      <c r="F19" t="s">
        <v>34</v>
      </c>
      <c r="G19" t="s">
        <v>17</v>
      </c>
      <c r="H19">
        <v>520</v>
      </c>
      <c r="I19">
        <v>410</v>
      </c>
      <c r="J19">
        <v>213200</v>
      </c>
      <c r="K19">
        <v>106600</v>
      </c>
      <c r="L19" s="2">
        <v>0.5</v>
      </c>
      <c r="M19" t="s">
        <v>27</v>
      </c>
    </row>
    <row r="20" spans="1:13" x14ac:dyDescent="0.25">
      <c r="A20" t="s">
        <v>32</v>
      </c>
      <c r="B20">
        <v>2025004</v>
      </c>
      <c r="C20" s="1">
        <v>45404</v>
      </c>
      <c r="D20" t="s">
        <v>14</v>
      </c>
      <c r="E20" t="s">
        <v>33</v>
      </c>
      <c r="F20" t="s">
        <v>34</v>
      </c>
      <c r="G20" t="s">
        <v>19</v>
      </c>
      <c r="H20">
        <v>480</v>
      </c>
      <c r="I20">
        <v>380</v>
      </c>
      <c r="J20">
        <v>182400</v>
      </c>
      <c r="K20">
        <v>81600</v>
      </c>
      <c r="L20" s="2">
        <v>0.45</v>
      </c>
      <c r="M20" t="s">
        <v>27</v>
      </c>
    </row>
    <row r="21" spans="1:13" x14ac:dyDescent="0.25">
      <c r="A21" t="s">
        <v>32</v>
      </c>
      <c r="B21">
        <v>2025004</v>
      </c>
      <c r="C21" s="1">
        <v>45404</v>
      </c>
      <c r="D21" t="s">
        <v>14</v>
      </c>
      <c r="E21" t="s">
        <v>33</v>
      </c>
      <c r="F21" t="s">
        <v>34</v>
      </c>
      <c r="G21" t="s">
        <v>20</v>
      </c>
      <c r="H21">
        <v>380</v>
      </c>
      <c r="I21">
        <v>350</v>
      </c>
      <c r="J21">
        <v>133000</v>
      </c>
      <c r="K21">
        <v>73150</v>
      </c>
      <c r="L21" s="2">
        <v>0.55000000000000004</v>
      </c>
      <c r="M21" t="s">
        <v>27</v>
      </c>
    </row>
    <row r="22" spans="1:13" x14ac:dyDescent="0.25">
      <c r="A22" t="s">
        <v>32</v>
      </c>
      <c r="B22">
        <v>2025004</v>
      </c>
      <c r="C22" s="1">
        <v>45404</v>
      </c>
      <c r="D22" t="s">
        <v>14</v>
      </c>
      <c r="E22" t="s">
        <v>33</v>
      </c>
      <c r="F22" t="s">
        <v>34</v>
      </c>
      <c r="G22" t="s">
        <v>21</v>
      </c>
      <c r="H22">
        <v>420</v>
      </c>
      <c r="I22">
        <v>320</v>
      </c>
      <c r="J22">
        <v>134400</v>
      </c>
      <c r="K22">
        <v>80640</v>
      </c>
      <c r="L22" s="2">
        <v>0.6</v>
      </c>
      <c r="M22" t="s">
        <v>27</v>
      </c>
    </row>
    <row r="23" spans="1:13" x14ac:dyDescent="0.25">
      <c r="A23" t="s">
        <v>35</v>
      </c>
      <c r="B23">
        <v>2025005</v>
      </c>
      <c r="C23" s="1">
        <v>45442</v>
      </c>
      <c r="D23" t="s">
        <v>14</v>
      </c>
      <c r="E23" t="s">
        <v>36</v>
      </c>
      <c r="F23" t="s">
        <v>37</v>
      </c>
      <c r="G23" t="s">
        <v>17</v>
      </c>
      <c r="H23">
        <v>950</v>
      </c>
      <c r="I23">
        <v>220</v>
      </c>
      <c r="J23">
        <v>209000</v>
      </c>
      <c r="K23">
        <v>83600</v>
      </c>
      <c r="L23" s="2">
        <v>0.4</v>
      </c>
      <c r="M23" t="s">
        <v>18</v>
      </c>
    </row>
    <row r="24" spans="1:13" x14ac:dyDescent="0.25">
      <c r="A24" t="s">
        <v>35</v>
      </c>
      <c r="B24">
        <v>2025005</v>
      </c>
      <c r="C24" s="1">
        <v>45443</v>
      </c>
      <c r="D24" t="s">
        <v>14</v>
      </c>
      <c r="E24" t="s">
        <v>36</v>
      </c>
      <c r="F24" t="s">
        <v>37</v>
      </c>
      <c r="G24" t="s">
        <v>19</v>
      </c>
      <c r="H24">
        <v>880</v>
      </c>
      <c r="I24">
        <v>180</v>
      </c>
      <c r="J24">
        <v>158400</v>
      </c>
      <c r="K24">
        <v>47520</v>
      </c>
      <c r="L24" s="2">
        <v>0.3</v>
      </c>
      <c r="M24" t="s">
        <v>18</v>
      </c>
    </row>
    <row r="25" spans="1:13" x14ac:dyDescent="0.25">
      <c r="A25" t="s">
        <v>35</v>
      </c>
      <c r="B25">
        <v>2025005</v>
      </c>
      <c r="C25" s="1">
        <v>45444</v>
      </c>
      <c r="D25" t="s">
        <v>14</v>
      </c>
      <c r="E25" t="s">
        <v>36</v>
      </c>
      <c r="F25" t="s">
        <v>37</v>
      </c>
      <c r="G25" t="s">
        <v>20</v>
      </c>
      <c r="H25">
        <v>780</v>
      </c>
      <c r="I25">
        <v>210</v>
      </c>
      <c r="J25">
        <v>163800</v>
      </c>
      <c r="K25">
        <v>57330</v>
      </c>
      <c r="L25" s="2">
        <v>0.35</v>
      </c>
      <c r="M25" t="s">
        <v>18</v>
      </c>
    </row>
    <row r="26" spans="1:13" x14ac:dyDescent="0.25">
      <c r="A26" t="s">
        <v>35</v>
      </c>
      <c r="B26">
        <v>2025005</v>
      </c>
      <c r="C26" s="1">
        <v>45445</v>
      </c>
      <c r="D26" t="s">
        <v>14</v>
      </c>
      <c r="E26" t="s">
        <v>36</v>
      </c>
      <c r="F26" t="s">
        <v>37</v>
      </c>
      <c r="G26" t="s">
        <v>21</v>
      </c>
      <c r="H26">
        <v>820</v>
      </c>
      <c r="I26">
        <v>190</v>
      </c>
      <c r="J26">
        <v>155800</v>
      </c>
      <c r="K26">
        <v>54530</v>
      </c>
      <c r="L26" s="2">
        <v>0.35</v>
      </c>
      <c r="M26" t="s">
        <v>18</v>
      </c>
    </row>
    <row r="27" spans="1:13" x14ac:dyDescent="0.25">
      <c r="A27" t="s">
        <v>38</v>
      </c>
      <c r="B27">
        <v>2025006</v>
      </c>
      <c r="C27" s="1">
        <v>45483</v>
      </c>
      <c r="D27" t="s">
        <v>14</v>
      </c>
      <c r="E27" t="s">
        <v>39</v>
      </c>
      <c r="F27" t="s">
        <v>40</v>
      </c>
      <c r="G27" t="s">
        <v>17</v>
      </c>
      <c r="H27">
        <v>1100</v>
      </c>
      <c r="I27">
        <v>310</v>
      </c>
      <c r="J27">
        <v>341000</v>
      </c>
      <c r="K27">
        <v>170500</v>
      </c>
      <c r="L27" s="2">
        <v>0.5</v>
      </c>
      <c r="M27" t="s">
        <v>31</v>
      </c>
    </row>
    <row r="28" spans="1:13" x14ac:dyDescent="0.25">
      <c r="A28" t="s">
        <v>38</v>
      </c>
      <c r="B28">
        <v>2025006</v>
      </c>
      <c r="C28" s="1">
        <v>45484</v>
      </c>
      <c r="D28" t="s">
        <v>14</v>
      </c>
      <c r="E28" t="s">
        <v>39</v>
      </c>
      <c r="F28" t="s">
        <v>40</v>
      </c>
      <c r="G28" t="s">
        <v>19</v>
      </c>
      <c r="H28">
        <v>1050</v>
      </c>
      <c r="I28">
        <v>290</v>
      </c>
      <c r="J28">
        <v>304500</v>
      </c>
      <c r="K28">
        <v>152250</v>
      </c>
      <c r="L28" s="2">
        <v>0.5</v>
      </c>
      <c r="M28" t="s">
        <v>31</v>
      </c>
    </row>
    <row r="29" spans="1:13" x14ac:dyDescent="0.25">
      <c r="A29" t="s">
        <v>38</v>
      </c>
      <c r="B29">
        <v>2025006</v>
      </c>
      <c r="C29" s="1">
        <v>45485</v>
      </c>
      <c r="D29" t="s">
        <v>14</v>
      </c>
      <c r="E29" t="s">
        <v>39</v>
      </c>
      <c r="F29" t="s">
        <v>40</v>
      </c>
      <c r="G29" t="s">
        <v>20</v>
      </c>
      <c r="H29">
        <v>980</v>
      </c>
      <c r="I29">
        <v>270</v>
      </c>
      <c r="J29">
        <v>264600</v>
      </c>
      <c r="K29">
        <v>142284</v>
      </c>
      <c r="L29" s="2">
        <v>0.54</v>
      </c>
      <c r="M29" t="s">
        <v>31</v>
      </c>
    </row>
    <row r="30" spans="1:13" x14ac:dyDescent="0.25">
      <c r="A30" t="s">
        <v>38</v>
      </c>
      <c r="B30">
        <v>2025006</v>
      </c>
      <c r="C30" s="1">
        <v>45486</v>
      </c>
      <c r="D30" t="s">
        <v>14</v>
      </c>
      <c r="E30" t="s">
        <v>39</v>
      </c>
      <c r="F30" t="s">
        <v>40</v>
      </c>
      <c r="G30" t="s">
        <v>21</v>
      </c>
      <c r="H30">
        <v>1020</v>
      </c>
      <c r="I30">
        <v>250</v>
      </c>
      <c r="J30">
        <v>255000</v>
      </c>
      <c r="K30">
        <v>153000</v>
      </c>
      <c r="L30" s="2">
        <v>0.6</v>
      </c>
      <c r="M30" t="s">
        <v>31</v>
      </c>
    </row>
    <row r="31" spans="1:13" x14ac:dyDescent="0.25">
      <c r="A31" t="s">
        <v>41</v>
      </c>
      <c r="B31">
        <v>2025007</v>
      </c>
      <c r="C31" s="1">
        <v>45509</v>
      </c>
      <c r="D31" t="s">
        <v>14</v>
      </c>
      <c r="E31" t="s">
        <v>42</v>
      </c>
      <c r="F31" t="s">
        <v>43</v>
      </c>
      <c r="G31" t="s">
        <v>22</v>
      </c>
      <c r="H31">
        <v>850</v>
      </c>
      <c r="I31">
        <v>180</v>
      </c>
      <c r="J31">
        <v>153000</v>
      </c>
      <c r="K31">
        <v>38250</v>
      </c>
      <c r="L31" s="2">
        <v>0.25</v>
      </c>
      <c r="M31" t="s">
        <v>18</v>
      </c>
    </row>
    <row r="32" spans="1:13" x14ac:dyDescent="0.25">
      <c r="A32" t="s">
        <v>41</v>
      </c>
      <c r="B32">
        <v>2025007</v>
      </c>
      <c r="C32" s="1">
        <v>45510</v>
      </c>
      <c r="D32" t="s">
        <v>14</v>
      </c>
      <c r="E32" t="s">
        <v>42</v>
      </c>
      <c r="F32" t="s">
        <v>43</v>
      </c>
      <c r="G32" t="s">
        <v>23</v>
      </c>
      <c r="H32">
        <v>880</v>
      </c>
      <c r="I32">
        <v>200</v>
      </c>
      <c r="J32">
        <v>176000</v>
      </c>
      <c r="K32">
        <v>26400</v>
      </c>
      <c r="L32" s="2">
        <v>0.15</v>
      </c>
      <c r="M32" t="s">
        <v>18</v>
      </c>
    </row>
    <row r="33" spans="1:13" x14ac:dyDescent="0.25">
      <c r="A33" t="s">
        <v>41</v>
      </c>
      <c r="B33">
        <v>2025007</v>
      </c>
      <c r="C33" s="1">
        <v>45511</v>
      </c>
      <c r="D33" t="s">
        <v>14</v>
      </c>
      <c r="E33" t="s">
        <v>42</v>
      </c>
      <c r="F33" t="s">
        <v>43</v>
      </c>
      <c r="G33" t="s">
        <v>17</v>
      </c>
      <c r="H33">
        <v>720</v>
      </c>
      <c r="I33">
        <v>220</v>
      </c>
      <c r="J33">
        <v>158400</v>
      </c>
      <c r="K33">
        <v>79200</v>
      </c>
      <c r="L33" s="2">
        <v>0.5</v>
      </c>
      <c r="M33" t="s">
        <v>18</v>
      </c>
    </row>
    <row r="34" spans="1:13" x14ac:dyDescent="0.25">
      <c r="A34" t="s">
        <v>41</v>
      </c>
      <c r="B34">
        <v>2025007</v>
      </c>
      <c r="C34" s="1">
        <v>45512</v>
      </c>
      <c r="D34" t="s">
        <v>14</v>
      </c>
      <c r="E34" t="s">
        <v>42</v>
      </c>
      <c r="F34" t="s">
        <v>43</v>
      </c>
      <c r="G34" t="s">
        <v>19</v>
      </c>
      <c r="H34">
        <v>760</v>
      </c>
      <c r="I34">
        <v>200</v>
      </c>
      <c r="J34">
        <v>152000</v>
      </c>
      <c r="K34">
        <v>60800</v>
      </c>
      <c r="L34" s="2">
        <v>0.4</v>
      </c>
      <c r="M34" t="s">
        <v>18</v>
      </c>
    </row>
    <row r="35" spans="1:13" x14ac:dyDescent="0.25">
      <c r="A35" t="s">
        <v>44</v>
      </c>
      <c r="B35">
        <v>2025008</v>
      </c>
      <c r="C35" s="1">
        <v>45553</v>
      </c>
      <c r="D35" t="s">
        <v>14</v>
      </c>
      <c r="E35" t="s">
        <v>45</v>
      </c>
      <c r="F35" t="s">
        <v>46</v>
      </c>
      <c r="G35" t="s">
        <v>20</v>
      </c>
      <c r="H35">
        <v>420</v>
      </c>
      <c r="I35">
        <v>190</v>
      </c>
      <c r="J35">
        <v>79800</v>
      </c>
      <c r="K35">
        <v>39900</v>
      </c>
      <c r="L35" s="2">
        <v>0.5</v>
      </c>
      <c r="M35" t="s">
        <v>27</v>
      </c>
    </row>
    <row r="36" spans="1:13" x14ac:dyDescent="0.25">
      <c r="A36" t="s">
        <v>44</v>
      </c>
      <c r="B36">
        <v>2025008</v>
      </c>
      <c r="C36" s="1">
        <v>45554</v>
      </c>
      <c r="D36" t="s">
        <v>14</v>
      </c>
      <c r="E36" t="s">
        <v>45</v>
      </c>
      <c r="F36" t="s">
        <v>46</v>
      </c>
      <c r="G36" t="s">
        <v>21</v>
      </c>
      <c r="H36">
        <v>450</v>
      </c>
      <c r="I36">
        <v>170</v>
      </c>
      <c r="J36">
        <v>76500</v>
      </c>
      <c r="K36">
        <v>45900</v>
      </c>
      <c r="L36" s="2">
        <v>0.6</v>
      </c>
      <c r="M36" t="s">
        <v>27</v>
      </c>
    </row>
    <row r="37" spans="1:13" x14ac:dyDescent="0.25">
      <c r="A37" t="s">
        <v>44</v>
      </c>
      <c r="B37">
        <v>2025008</v>
      </c>
      <c r="C37" s="1">
        <v>45555</v>
      </c>
      <c r="D37" t="s">
        <v>14</v>
      </c>
      <c r="E37" t="s">
        <v>45</v>
      </c>
      <c r="F37" t="s">
        <v>46</v>
      </c>
      <c r="G37" t="s">
        <v>22</v>
      </c>
      <c r="H37">
        <v>520</v>
      </c>
      <c r="I37">
        <v>150</v>
      </c>
      <c r="J37">
        <v>78000</v>
      </c>
      <c r="K37">
        <v>38220</v>
      </c>
      <c r="L37" s="2">
        <v>0.49</v>
      </c>
      <c r="M37" t="s">
        <v>27</v>
      </c>
    </row>
    <row r="38" spans="1:13" x14ac:dyDescent="0.25">
      <c r="A38" t="s">
        <v>44</v>
      </c>
      <c r="B38">
        <v>2025008</v>
      </c>
      <c r="C38" s="1">
        <v>45556</v>
      </c>
      <c r="D38" t="s">
        <v>14</v>
      </c>
      <c r="E38" t="s">
        <v>45</v>
      </c>
      <c r="F38" t="s">
        <v>46</v>
      </c>
      <c r="G38" t="s">
        <v>23</v>
      </c>
      <c r="H38">
        <v>490</v>
      </c>
      <c r="I38">
        <v>160</v>
      </c>
      <c r="J38">
        <v>78400</v>
      </c>
      <c r="K38">
        <v>54880</v>
      </c>
      <c r="L38" s="2">
        <v>0.7</v>
      </c>
      <c r="M38" t="s">
        <v>27</v>
      </c>
    </row>
    <row r="39" spans="1:13" x14ac:dyDescent="0.25">
      <c r="A39" t="s">
        <v>47</v>
      </c>
      <c r="B39">
        <v>2025009</v>
      </c>
      <c r="C39" s="1">
        <v>45567</v>
      </c>
      <c r="D39" t="s">
        <v>14</v>
      </c>
      <c r="E39" t="s">
        <v>48</v>
      </c>
      <c r="F39" t="s">
        <v>49</v>
      </c>
      <c r="G39" t="s">
        <v>17</v>
      </c>
      <c r="H39">
        <v>610</v>
      </c>
      <c r="I39">
        <v>120</v>
      </c>
      <c r="J39">
        <v>73200</v>
      </c>
      <c r="K39">
        <v>37332</v>
      </c>
      <c r="L39" s="2">
        <v>0.51</v>
      </c>
      <c r="M39" t="s">
        <v>31</v>
      </c>
    </row>
    <row r="40" spans="1:13" x14ac:dyDescent="0.25">
      <c r="A40" t="s">
        <v>47</v>
      </c>
      <c r="B40">
        <v>2025009</v>
      </c>
      <c r="C40" s="1">
        <v>45568</v>
      </c>
      <c r="D40" t="s">
        <v>14</v>
      </c>
      <c r="E40" t="s">
        <v>48</v>
      </c>
      <c r="F40" t="s">
        <v>49</v>
      </c>
      <c r="G40" t="s">
        <v>19</v>
      </c>
      <c r="H40">
        <v>580</v>
      </c>
      <c r="I40">
        <v>110</v>
      </c>
      <c r="J40">
        <v>63800</v>
      </c>
      <c r="K40">
        <v>30624</v>
      </c>
      <c r="L40" s="2">
        <v>0.48</v>
      </c>
      <c r="M40" t="s">
        <v>31</v>
      </c>
    </row>
    <row r="41" spans="1:13" x14ac:dyDescent="0.25">
      <c r="A41" t="s">
        <v>47</v>
      </c>
      <c r="B41">
        <v>2025009</v>
      </c>
      <c r="C41" s="1">
        <v>45569</v>
      </c>
      <c r="D41" t="s">
        <v>14</v>
      </c>
      <c r="E41" t="s">
        <v>48</v>
      </c>
      <c r="F41" t="s">
        <v>49</v>
      </c>
      <c r="G41" t="s">
        <v>20</v>
      </c>
      <c r="H41">
        <v>490</v>
      </c>
      <c r="I41">
        <v>100</v>
      </c>
      <c r="J41">
        <v>49000</v>
      </c>
      <c r="K41">
        <v>26950</v>
      </c>
      <c r="L41" s="2">
        <v>0.55000000000000004</v>
      </c>
      <c r="M41" t="s">
        <v>31</v>
      </c>
    </row>
    <row r="42" spans="1:13" x14ac:dyDescent="0.25">
      <c r="A42" t="s">
        <v>47</v>
      </c>
      <c r="B42">
        <v>2025009</v>
      </c>
      <c r="C42" s="1">
        <v>45570</v>
      </c>
      <c r="D42" t="s">
        <v>14</v>
      </c>
      <c r="E42" t="s">
        <v>48</v>
      </c>
      <c r="F42" t="s">
        <v>49</v>
      </c>
      <c r="G42" t="s">
        <v>21</v>
      </c>
      <c r="H42">
        <v>520</v>
      </c>
      <c r="I42">
        <v>90</v>
      </c>
      <c r="J42">
        <v>46800</v>
      </c>
      <c r="K42">
        <v>31824</v>
      </c>
      <c r="L42" s="2">
        <v>0.68</v>
      </c>
      <c r="M42" t="s">
        <v>31</v>
      </c>
    </row>
    <row r="43" spans="1:13" x14ac:dyDescent="0.25">
      <c r="A43" t="s">
        <v>50</v>
      </c>
      <c r="B43">
        <v>2025010</v>
      </c>
      <c r="C43" s="1">
        <v>45608</v>
      </c>
      <c r="D43" t="s">
        <v>14</v>
      </c>
      <c r="E43" t="s">
        <v>15</v>
      </c>
      <c r="F43" t="s">
        <v>51</v>
      </c>
      <c r="G43" t="s">
        <v>17</v>
      </c>
      <c r="H43">
        <v>680</v>
      </c>
      <c r="I43">
        <v>340</v>
      </c>
      <c r="J43">
        <v>231200</v>
      </c>
      <c r="K43">
        <v>115600</v>
      </c>
      <c r="L43" s="2">
        <v>0.5</v>
      </c>
      <c r="M43" t="s">
        <v>18</v>
      </c>
    </row>
    <row r="44" spans="1:13" x14ac:dyDescent="0.25">
      <c r="A44" t="s">
        <v>50</v>
      </c>
      <c r="B44">
        <v>2025010</v>
      </c>
      <c r="C44" s="1">
        <v>45609</v>
      </c>
      <c r="D44" t="s">
        <v>14</v>
      </c>
      <c r="E44" t="s">
        <v>15</v>
      </c>
      <c r="F44" t="s">
        <v>51</v>
      </c>
      <c r="G44" t="s">
        <v>19</v>
      </c>
      <c r="H44">
        <v>650</v>
      </c>
      <c r="I44">
        <v>300</v>
      </c>
      <c r="J44">
        <v>195000</v>
      </c>
      <c r="K44">
        <v>58500</v>
      </c>
      <c r="L44" s="2">
        <v>0.3</v>
      </c>
      <c r="M44" t="s">
        <v>18</v>
      </c>
    </row>
    <row r="45" spans="1:13" x14ac:dyDescent="0.25">
      <c r="A45" t="s">
        <v>50</v>
      </c>
      <c r="B45">
        <v>2025010</v>
      </c>
      <c r="C45" s="1">
        <v>45610</v>
      </c>
      <c r="D45" t="s">
        <v>14</v>
      </c>
      <c r="E45" t="s">
        <v>15</v>
      </c>
      <c r="F45" t="s">
        <v>51</v>
      </c>
      <c r="G45" t="s">
        <v>20</v>
      </c>
      <c r="H45">
        <v>590</v>
      </c>
      <c r="I45">
        <v>320</v>
      </c>
      <c r="J45">
        <v>188800</v>
      </c>
      <c r="K45">
        <v>66080</v>
      </c>
      <c r="L45" s="2">
        <v>0.35</v>
      </c>
      <c r="M45" t="s">
        <v>18</v>
      </c>
    </row>
    <row r="46" spans="1:13" x14ac:dyDescent="0.25">
      <c r="A46" t="s">
        <v>50</v>
      </c>
      <c r="B46">
        <v>2025010</v>
      </c>
      <c r="C46" s="1">
        <v>45611</v>
      </c>
      <c r="D46" t="s">
        <v>14</v>
      </c>
      <c r="E46" t="s">
        <v>15</v>
      </c>
      <c r="F46" t="s">
        <v>51</v>
      </c>
      <c r="G46" t="s">
        <v>21</v>
      </c>
      <c r="H46">
        <v>610</v>
      </c>
      <c r="I46">
        <v>290</v>
      </c>
      <c r="J46">
        <v>176900</v>
      </c>
      <c r="K46">
        <v>61915</v>
      </c>
      <c r="L46" s="2">
        <v>0.35</v>
      </c>
      <c r="M46" t="s">
        <v>18</v>
      </c>
    </row>
    <row r="47" spans="1:13" x14ac:dyDescent="0.25">
      <c r="A47" t="s">
        <v>13</v>
      </c>
      <c r="B47">
        <v>2025001</v>
      </c>
      <c r="C47" s="1">
        <v>45350</v>
      </c>
      <c r="D47" t="s">
        <v>14</v>
      </c>
      <c r="E47" t="s">
        <v>25</v>
      </c>
      <c r="F47" t="s">
        <v>26</v>
      </c>
      <c r="G47" t="s">
        <v>17</v>
      </c>
      <c r="H47">
        <v>1150</v>
      </c>
      <c r="I47">
        <v>500</v>
      </c>
      <c r="J47">
        <v>575000</v>
      </c>
      <c r="K47">
        <v>287500</v>
      </c>
      <c r="L47" s="2">
        <v>0.5</v>
      </c>
      <c r="M47" t="s">
        <v>18</v>
      </c>
    </row>
    <row r="48" spans="1:13" x14ac:dyDescent="0.25">
      <c r="A48" t="s">
        <v>13</v>
      </c>
      <c r="B48">
        <v>2025001</v>
      </c>
      <c r="C48" s="1">
        <v>45352</v>
      </c>
      <c r="D48" t="s">
        <v>14</v>
      </c>
      <c r="E48" t="s">
        <v>25</v>
      </c>
      <c r="F48" t="s">
        <v>26</v>
      </c>
      <c r="G48" t="s">
        <v>19</v>
      </c>
      <c r="H48">
        <v>1080</v>
      </c>
      <c r="I48">
        <v>480</v>
      </c>
      <c r="J48">
        <v>518400</v>
      </c>
      <c r="K48">
        <v>155520</v>
      </c>
      <c r="L48" s="2">
        <v>0.3</v>
      </c>
      <c r="M48" t="s">
        <v>18</v>
      </c>
    </row>
    <row r="49" spans="1:13" x14ac:dyDescent="0.25">
      <c r="A49" t="s">
        <v>13</v>
      </c>
      <c r="B49">
        <v>2025001</v>
      </c>
      <c r="C49" s="1">
        <v>45353</v>
      </c>
      <c r="D49" t="s">
        <v>14</v>
      </c>
      <c r="E49" t="s">
        <v>25</v>
      </c>
      <c r="F49" t="s">
        <v>26</v>
      </c>
      <c r="G49" t="s">
        <v>20</v>
      </c>
      <c r="H49">
        <v>950</v>
      </c>
      <c r="I49">
        <v>520</v>
      </c>
      <c r="J49">
        <v>494000</v>
      </c>
      <c r="K49">
        <v>172900</v>
      </c>
      <c r="L49" s="2">
        <v>0.35</v>
      </c>
      <c r="M49" t="s">
        <v>18</v>
      </c>
    </row>
    <row r="50" spans="1:13" x14ac:dyDescent="0.25">
      <c r="A50" t="s">
        <v>13</v>
      </c>
      <c r="B50">
        <v>2025001</v>
      </c>
      <c r="C50" s="1">
        <v>45354</v>
      </c>
      <c r="D50" t="s">
        <v>14</v>
      </c>
      <c r="E50" t="s">
        <v>25</v>
      </c>
      <c r="F50" t="s">
        <v>26</v>
      </c>
      <c r="G50" t="s">
        <v>21</v>
      </c>
      <c r="H50">
        <v>1020</v>
      </c>
      <c r="I50">
        <v>490</v>
      </c>
      <c r="J50">
        <v>499800</v>
      </c>
      <c r="K50">
        <v>174930</v>
      </c>
      <c r="L50" s="2">
        <v>0.35</v>
      </c>
      <c r="M50" t="s">
        <v>18</v>
      </c>
    </row>
    <row r="51" spans="1:13" x14ac:dyDescent="0.25">
      <c r="A51" t="s">
        <v>24</v>
      </c>
      <c r="B51">
        <v>2025002</v>
      </c>
      <c r="C51" s="1">
        <v>45392</v>
      </c>
      <c r="D51" t="s">
        <v>14</v>
      </c>
      <c r="E51" t="s">
        <v>29</v>
      </c>
      <c r="F51" t="s">
        <v>30</v>
      </c>
      <c r="G51" t="s">
        <v>22</v>
      </c>
      <c r="H51">
        <v>820</v>
      </c>
      <c r="I51">
        <v>270</v>
      </c>
      <c r="J51">
        <v>221400</v>
      </c>
      <c r="K51">
        <v>99630</v>
      </c>
      <c r="L51" s="2">
        <v>0.45</v>
      </c>
      <c r="M51" t="s">
        <v>27</v>
      </c>
    </row>
    <row r="52" spans="1:13" x14ac:dyDescent="0.25">
      <c r="A52" t="s">
        <v>24</v>
      </c>
      <c r="B52">
        <v>2025002</v>
      </c>
      <c r="C52" s="1">
        <v>45393</v>
      </c>
      <c r="D52" t="s">
        <v>14</v>
      </c>
      <c r="E52" t="s">
        <v>29</v>
      </c>
      <c r="F52" t="s">
        <v>30</v>
      </c>
      <c r="G52" t="s">
        <v>23</v>
      </c>
      <c r="H52">
        <v>790</v>
      </c>
      <c r="I52">
        <v>310</v>
      </c>
      <c r="J52">
        <v>244900</v>
      </c>
      <c r="K52">
        <v>171430</v>
      </c>
      <c r="L52" s="2">
        <v>0.7</v>
      </c>
      <c r="M52" t="s">
        <v>27</v>
      </c>
    </row>
    <row r="53" spans="1:13" x14ac:dyDescent="0.25">
      <c r="A53" t="s">
        <v>28</v>
      </c>
      <c r="B53">
        <v>2025003</v>
      </c>
      <c r="C53" s="1">
        <v>45432</v>
      </c>
      <c r="D53" t="s">
        <v>14</v>
      </c>
      <c r="E53" t="s">
        <v>33</v>
      </c>
      <c r="F53" t="s">
        <v>52</v>
      </c>
      <c r="G53" t="s">
        <v>17</v>
      </c>
      <c r="H53">
        <v>1280</v>
      </c>
      <c r="I53">
        <v>190</v>
      </c>
      <c r="J53">
        <v>243200</v>
      </c>
      <c r="K53">
        <v>121600</v>
      </c>
      <c r="L53" s="2">
        <v>0.5</v>
      </c>
      <c r="M53" t="s">
        <v>31</v>
      </c>
    </row>
    <row r="54" spans="1:13" x14ac:dyDescent="0.25">
      <c r="A54" t="s">
        <v>28</v>
      </c>
      <c r="B54">
        <v>2025003</v>
      </c>
      <c r="C54" s="1">
        <v>45433</v>
      </c>
      <c r="D54" t="s">
        <v>14</v>
      </c>
      <c r="E54" t="s">
        <v>33</v>
      </c>
      <c r="F54" t="s">
        <v>52</v>
      </c>
      <c r="G54" t="s">
        <v>21</v>
      </c>
      <c r="H54">
        <v>1180</v>
      </c>
      <c r="I54">
        <v>170</v>
      </c>
      <c r="J54">
        <v>200600</v>
      </c>
      <c r="K54">
        <v>100300</v>
      </c>
      <c r="L54" s="2">
        <v>0.5</v>
      </c>
      <c r="M54" t="s">
        <v>31</v>
      </c>
    </row>
    <row r="55" spans="1:13" x14ac:dyDescent="0.25">
      <c r="A55" t="s">
        <v>32</v>
      </c>
      <c r="B55">
        <v>2025004</v>
      </c>
      <c r="C55" s="1">
        <v>45458</v>
      </c>
      <c r="D55" t="s">
        <v>14</v>
      </c>
      <c r="E55" t="s">
        <v>36</v>
      </c>
      <c r="F55" t="s">
        <v>53</v>
      </c>
      <c r="G55" t="s">
        <v>20</v>
      </c>
      <c r="H55">
        <v>340</v>
      </c>
      <c r="I55">
        <v>120</v>
      </c>
      <c r="J55">
        <v>40800</v>
      </c>
      <c r="K55">
        <v>22440</v>
      </c>
      <c r="L55" s="2">
        <v>0.55000000000000004</v>
      </c>
      <c r="M55" t="s">
        <v>27</v>
      </c>
    </row>
    <row r="56" spans="1:13" x14ac:dyDescent="0.25">
      <c r="A56" t="s">
        <v>38</v>
      </c>
      <c r="B56">
        <v>2025006</v>
      </c>
      <c r="C56" s="1">
        <v>45498</v>
      </c>
      <c r="D56" t="s">
        <v>14</v>
      </c>
      <c r="E56" t="s">
        <v>39</v>
      </c>
      <c r="F56" t="s">
        <v>54</v>
      </c>
      <c r="G56" t="s">
        <v>19</v>
      </c>
      <c r="H56">
        <v>980</v>
      </c>
      <c r="I56">
        <v>140</v>
      </c>
      <c r="J56">
        <v>137200</v>
      </c>
      <c r="K56">
        <v>68600</v>
      </c>
      <c r="L56" s="2">
        <v>0.5</v>
      </c>
      <c r="M56" t="s">
        <v>31</v>
      </c>
    </row>
    <row r="57" spans="1:13" x14ac:dyDescent="0.25">
      <c r="A57" t="s">
        <v>41</v>
      </c>
      <c r="B57">
        <v>2025007</v>
      </c>
      <c r="C57" s="1">
        <v>45522</v>
      </c>
      <c r="D57" t="s">
        <v>14</v>
      </c>
      <c r="E57" t="s">
        <v>42</v>
      </c>
      <c r="F57" t="s">
        <v>55</v>
      </c>
      <c r="G57" t="s">
        <v>23</v>
      </c>
      <c r="H57">
        <v>560</v>
      </c>
      <c r="I57">
        <v>95</v>
      </c>
      <c r="J57">
        <v>53200</v>
      </c>
      <c r="K57">
        <v>15960</v>
      </c>
      <c r="L57" s="2">
        <v>0.3</v>
      </c>
      <c r="M57" t="s">
        <v>18</v>
      </c>
    </row>
    <row r="58" spans="1:13" x14ac:dyDescent="0.25">
      <c r="A58" t="s">
        <v>44</v>
      </c>
      <c r="B58">
        <v>2025008</v>
      </c>
      <c r="C58" s="1">
        <v>45540</v>
      </c>
      <c r="D58" t="s">
        <v>14</v>
      </c>
      <c r="E58" t="s">
        <v>45</v>
      </c>
      <c r="F58" t="s">
        <v>56</v>
      </c>
      <c r="G58" t="s">
        <v>17</v>
      </c>
      <c r="H58">
        <v>390</v>
      </c>
      <c r="I58">
        <v>130</v>
      </c>
      <c r="J58">
        <v>50700</v>
      </c>
      <c r="K58">
        <v>20280</v>
      </c>
      <c r="L58" s="2">
        <v>0.4</v>
      </c>
      <c r="M58" t="s">
        <v>27</v>
      </c>
    </row>
    <row r="59" spans="1:13" x14ac:dyDescent="0.25">
      <c r="A59" t="s">
        <v>47</v>
      </c>
      <c r="B59">
        <v>2025009</v>
      </c>
      <c r="C59" s="1">
        <v>45587</v>
      </c>
      <c r="D59" t="s">
        <v>14</v>
      </c>
      <c r="E59" t="s">
        <v>48</v>
      </c>
      <c r="F59" t="s">
        <v>57</v>
      </c>
      <c r="G59" t="s">
        <v>21</v>
      </c>
      <c r="H59">
        <v>480</v>
      </c>
      <c r="I59">
        <v>85</v>
      </c>
      <c r="J59">
        <v>40800</v>
      </c>
      <c r="K59">
        <v>28560</v>
      </c>
      <c r="L59" s="2">
        <v>0.7</v>
      </c>
      <c r="M59" t="s">
        <v>31</v>
      </c>
    </row>
    <row r="60" spans="1:13" x14ac:dyDescent="0.25">
      <c r="A60" t="s">
        <v>50</v>
      </c>
      <c r="B60">
        <v>2025010</v>
      </c>
      <c r="C60" s="1">
        <v>45624</v>
      </c>
      <c r="D60" t="s">
        <v>14</v>
      </c>
      <c r="E60" t="s">
        <v>15</v>
      </c>
      <c r="F60" t="s">
        <v>58</v>
      </c>
      <c r="G60" t="s">
        <v>22</v>
      </c>
      <c r="H60">
        <v>540</v>
      </c>
      <c r="I60">
        <v>210</v>
      </c>
      <c r="J60">
        <v>113400</v>
      </c>
      <c r="K60">
        <v>34020</v>
      </c>
      <c r="L60" s="2">
        <v>0.3</v>
      </c>
      <c r="M60" t="s">
        <v>18</v>
      </c>
    </row>
    <row r="61" spans="1:13" x14ac:dyDescent="0.25">
      <c r="A61" t="s">
        <v>13</v>
      </c>
      <c r="B61">
        <v>2025001</v>
      </c>
      <c r="C61" s="1">
        <v>45453</v>
      </c>
      <c r="D61" t="s">
        <v>14</v>
      </c>
      <c r="E61" t="s">
        <v>33</v>
      </c>
      <c r="F61" t="s">
        <v>59</v>
      </c>
      <c r="G61" t="s">
        <v>20</v>
      </c>
      <c r="H61">
        <v>610</v>
      </c>
      <c r="I61">
        <v>200</v>
      </c>
      <c r="J61">
        <v>122000</v>
      </c>
      <c r="K61">
        <v>42700</v>
      </c>
      <c r="L61" s="2">
        <v>0.35</v>
      </c>
      <c r="M61" t="s">
        <v>18</v>
      </c>
    </row>
    <row r="62" spans="1:13" x14ac:dyDescent="0.25">
      <c r="A62" t="s">
        <v>13</v>
      </c>
      <c r="B62">
        <v>2025001</v>
      </c>
      <c r="C62" s="1">
        <v>45454</v>
      </c>
      <c r="D62" t="s">
        <v>14</v>
      </c>
      <c r="E62" t="s">
        <v>33</v>
      </c>
      <c r="F62" t="s">
        <v>59</v>
      </c>
      <c r="G62" t="s">
        <v>21</v>
      </c>
      <c r="H62">
        <v>640</v>
      </c>
      <c r="I62">
        <v>190</v>
      </c>
      <c r="J62">
        <v>121600</v>
      </c>
      <c r="K62">
        <v>60800</v>
      </c>
      <c r="L62" s="2">
        <v>0.5</v>
      </c>
      <c r="M62" t="s">
        <v>18</v>
      </c>
    </row>
    <row r="63" spans="1:13" x14ac:dyDescent="0.25">
      <c r="A63" t="s">
        <v>24</v>
      </c>
      <c r="B63">
        <v>2025002</v>
      </c>
      <c r="C63" s="1">
        <v>45487</v>
      </c>
      <c r="D63" t="s">
        <v>14</v>
      </c>
      <c r="E63" t="s">
        <v>36</v>
      </c>
      <c r="F63" t="s">
        <v>37</v>
      </c>
      <c r="G63" t="s">
        <v>17</v>
      </c>
      <c r="H63">
        <v>520</v>
      </c>
      <c r="I63">
        <v>310</v>
      </c>
      <c r="J63">
        <v>161200</v>
      </c>
      <c r="K63">
        <v>80600</v>
      </c>
      <c r="L63" s="2">
        <v>0.5</v>
      </c>
      <c r="M63" t="s">
        <v>27</v>
      </c>
    </row>
    <row r="64" spans="1:13" x14ac:dyDescent="0.25">
      <c r="A64" t="s">
        <v>24</v>
      </c>
      <c r="B64">
        <v>2025002</v>
      </c>
      <c r="C64" s="1">
        <v>45488</v>
      </c>
      <c r="D64" t="s">
        <v>14</v>
      </c>
      <c r="E64" t="s">
        <v>36</v>
      </c>
      <c r="F64" t="s">
        <v>37</v>
      </c>
      <c r="G64" t="s">
        <v>19</v>
      </c>
      <c r="H64">
        <v>480</v>
      </c>
      <c r="I64">
        <v>290</v>
      </c>
      <c r="J64">
        <v>139200</v>
      </c>
      <c r="K64">
        <v>62640</v>
      </c>
      <c r="L64" s="2">
        <v>0.45</v>
      </c>
      <c r="M64" t="s">
        <v>27</v>
      </c>
    </row>
    <row r="65" spans="1:13" x14ac:dyDescent="0.25">
      <c r="A65" t="s">
        <v>28</v>
      </c>
      <c r="B65">
        <v>2025003</v>
      </c>
      <c r="C65" s="1">
        <v>45526</v>
      </c>
      <c r="D65" t="s">
        <v>14</v>
      </c>
      <c r="E65" t="s">
        <v>39</v>
      </c>
      <c r="F65" t="s">
        <v>60</v>
      </c>
      <c r="G65" t="s">
        <v>20</v>
      </c>
      <c r="H65">
        <v>1080</v>
      </c>
      <c r="I65">
        <v>180</v>
      </c>
      <c r="J65">
        <v>194400</v>
      </c>
      <c r="K65">
        <v>97200</v>
      </c>
      <c r="L65" s="2">
        <v>0.5</v>
      </c>
      <c r="M65" t="s">
        <v>31</v>
      </c>
    </row>
    <row r="66" spans="1:13" x14ac:dyDescent="0.25">
      <c r="A66" t="s">
        <v>28</v>
      </c>
      <c r="B66">
        <v>2025003</v>
      </c>
      <c r="C66" s="1">
        <v>45527</v>
      </c>
      <c r="D66" t="s">
        <v>14</v>
      </c>
      <c r="E66" t="s">
        <v>39</v>
      </c>
      <c r="F66" t="s">
        <v>60</v>
      </c>
      <c r="G66" t="s">
        <v>21</v>
      </c>
      <c r="H66">
        <v>1120</v>
      </c>
      <c r="I66">
        <v>170</v>
      </c>
      <c r="J66">
        <v>190400</v>
      </c>
      <c r="K66">
        <v>95200</v>
      </c>
      <c r="L66" s="2">
        <v>0.5</v>
      </c>
      <c r="M66" t="s">
        <v>31</v>
      </c>
    </row>
    <row r="67" spans="1:13" x14ac:dyDescent="0.25">
      <c r="A67" t="s">
        <v>32</v>
      </c>
      <c r="B67">
        <v>2025004</v>
      </c>
      <c r="C67" s="1">
        <v>45565</v>
      </c>
      <c r="D67" t="s">
        <v>14</v>
      </c>
      <c r="E67" t="s">
        <v>42</v>
      </c>
      <c r="F67" t="s">
        <v>61</v>
      </c>
      <c r="G67" t="s">
        <v>22</v>
      </c>
      <c r="H67">
        <v>420</v>
      </c>
      <c r="I67">
        <v>150</v>
      </c>
      <c r="J67">
        <v>63000</v>
      </c>
      <c r="K67">
        <v>34650</v>
      </c>
      <c r="L67" s="2">
        <v>0.55000000000000004</v>
      </c>
      <c r="M67" t="s">
        <v>27</v>
      </c>
    </row>
    <row r="68" spans="1:13" x14ac:dyDescent="0.25">
      <c r="A68" t="s">
        <v>32</v>
      </c>
      <c r="B68">
        <v>2025004</v>
      </c>
      <c r="C68" s="1">
        <v>45566</v>
      </c>
      <c r="D68" t="s">
        <v>14</v>
      </c>
      <c r="E68" t="s">
        <v>42</v>
      </c>
      <c r="F68" t="s">
        <v>61</v>
      </c>
      <c r="G68" t="s">
        <v>23</v>
      </c>
      <c r="H68">
        <v>450</v>
      </c>
      <c r="I68">
        <v>140</v>
      </c>
      <c r="J68">
        <v>63000</v>
      </c>
      <c r="K68">
        <v>47250</v>
      </c>
      <c r="L68" s="2">
        <v>0.75</v>
      </c>
      <c r="M68" t="s">
        <v>27</v>
      </c>
    </row>
    <row r="69" spans="1:13" x14ac:dyDescent="0.25">
      <c r="A69" t="s">
        <v>35</v>
      </c>
      <c r="B69">
        <v>2025005</v>
      </c>
      <c r="C69" s="1">
        <v>45575</v>
      </c>
      <c r="D69" t="s">
        <v>14</v>
      </c>
      <c r="E69" t="s">
        <v>45</v>
      </c>
      <c r="F69" t="s">
        <v>62</v>
      </c>
      <c r="G69" t="s">
        <v>17</v>
      </c>
      <c r="H69">
        <v>750</v>
      </c>
      <c r="I69">
        <v>130</v>
      </c>
      <c r="J69">
        <v>97500</v>
      </c>
      <c r="K69">
        <v>43875</v>
      </c>
      <c r="L69" s="2">
        <v>0.45</v>
      </c>
      <c r="M69" t="s">
        <v>18</v>
      </c>
    </row>
    <row r="70" spans="1:13" x14ac:dyDescent="0.25">
      <c r="A70" t="s">
        <v>35</v>
      </c>
      <c r="B70">
        <v>2025005</v>
      </c>
      <c r="C70" s="1">
        <v>45576</v>
      </c>
      <c r="D70" t="s">
        <v>14</v>
      </c>
      <c r="E70" t="s">
        <v>45</v>
      </c>
      <c r="F70" t="s">
        <v>62</v>
      </c>
      <c r="G70" t="s">
        <v>19</v>
      </c>
      <c r="H70">
        <v>790</v>
      </c>
      <c r="I70">
        <v>120</v>
      </c>
      <c r="J70">
        <v>94800</v>
      </c>
      <c r="K70">
        <v>40644</v>
      </c>
      <c r="L70" s="2">
        <v>0.43</v>
      </c>
      <c r="M70" t="s">
        <v>18</v>
      </c>
    </row>
    <row r="71" spans="1:13" x14ac:dyDescent="0.25">
      <c r="A71" t="s">
        <v>38</v>
      </c>
      <c r="B71">
        <v>2025006</v>
      </c>
      <c r="C71" s="1">
        <v>45601</v>
      </c>
      <c r="D71" t="s">
        <v>14</v>
      </c>
      <c r="E71" t="s">
        <v>48</v>
      </c>
      <c r="F71" t="s">
        <v>63</v>
      </c>
      <c r="G71" t="s">
        <v>20</v>
      </c>
      <c r="H71">
        <v>880</v>
      </c>
      <c r="I71">
        <v>90</v>
      </c>
      <c r="J71">
        <v>79200</v>
      </c>
      <c r="K71">
        <v>39600</v>
      </c>
      <c r="L71" s="2">
        <v>0.5</v>
      </c>
      <c r="M71" t="s">
        <v>31</v>
      </c>
    </row>
    <row r="72" spans="1:13" x14ac:dyDescent="0.25">
      <c r="A72" t="s">
        <v>38</v>
      </c>
      <c r="B72">
        <v>2025006</v>
      </c>
      <c r="C72" s="1">
        <v>45602</v>
      </c>
      <c r="D72" t="s">
        <v>14</v>
      </c>
      <c r="E72" t="s">
        <v>48</v>
      </c>
      <c r="F72" t="s">
        <v>63</v>
      </c>
      <c r="G72" t="s">
        <v>21</v>
      </c>
      <c r="H72">
        <v>920</v>
      </c>
      <c r="I72">
        <v>85</v>
      </c>
      <c r="J72">
        <v>78200</v>
      </c>
      <c r="K72">
        <v>50830</v>
      </c>
      <c r="L72" s="2">
        <v>0.65</v>
      </c>
      <c r="M72" t="s">
        <v>31</v>
      </c>
    </row>
    <row r="73" spans="1:13" x14ac:dyDescent="0.25">
      <c r="A73" t="s">
        <v>41</v>
      </c>
      <c r="B73">
        <v>2025007</v>
      </c>
      <c r="C73" s="1">
        <v>45296</v>
      </c>
      <c r="D73" t="s">
        <v>14</v>
      </c>
      <c r="E73" t="s">
        <v>15</v>
      </c>
      <c r="F73" t="s">
        <v>64</v>
      </c>
      <c r="G73" t="s">
        <v>17</v>
      </c>
      <c r="H73">
        <v>620</v>
      </c>
      <c r="I73">
        <v>220</v>
      </c>
      <c r="J73">
        <v>136400</v>
      </c>
      <c r="K73">
        <v>54560</v>
      </c>
      <c r="L73" s="2">
        <v>0.4</v>
      </c>
      <c r="M73" t="s">
        <v>18</v>
      </c>
    </row>
    <row r="74" spans="1:13" x14ac:dyDescent="0.25">
      <c r="A74" t="s">
        <v>41</v>
      </c>
      <c r="B74">
        <v>2025007</v>
      </c>
      <c r="C74" s="1">
        <v>45297</v>
      </c>
      <c r="D74" t="s">
        <v>14</v>
      </c>
      <c r="E74" t="s">
        <v>15</v>
      </c>
      <c r="F74" t="s">
        <v>64</v>
      </c>
      <c r="G74" t="s">
        <v>19</v>
      </c>
      <c r="H74">
        <v>660</v>
      </c>
      <c r="I74">
        <v>200</v>
      </c>
      <c r="J74">
        <v>132000</v>
      </c>
      <c r="K74">
        <v>39600</v>
      </c>
      <c r="L74" s="2">
        <v>0.3</v>
      </c>
      <c r="M74" t="s">
        <v>18</v>
      </c>
    </row>
    <row r="75" spans="1:13" x14ac:dyDescent="0.25">
      <c r="A75" t="s">
        <v>44</v>
      </c>
      <c r="B75">
        <v>2025008</v>
      </c>
      <c r="C75" s="1">
        <v>45334</v>
      </c>
      <c r="D75" t="s">
        <v>14</v>
      </c>
      <c r="E75" t="s">
        <v>25</v>
      </c>
      <c r="F75" t="s">
        <v>65</v>
      </c>
      <c r="G75" t="s">
        <v>20</v>
      </c>
      <c r="H75">
        <v>310</v>
      </c>
      <c r="I75">
        <v>180</v>
      </c>
      <c r="J75">
        <v>55800</v>
      </c>
      <c r="K75">
        <v>22320</v>
      </c>
      <c r="L75" s="2">
        <v>0.4</v>
      </c>
      <c r="M75" t="s">
        <v>27</v>
      </c>
    </row>
    <row r="76" spans="1:13" x14ac:dyDescent="0.25">
      <c r="A76" t="s">
        <v>44</v>
      </c>
      <c r="B76">
        <v>2025008</v>
      </c>
      <c r="C76" s="1">
        <v>45335</v>
      </c>
      <c r="D76" t="s">
        <v>14</v>
      </c>
      <c r="E76" t="s">
        <v>25</v>
      </c>
      <c r="F76" t="s">
        <v>65</v>
      </c>
      <c r="G76" t="s">
        <v>21</v>
      </c>
      <c r="H76">
        <v>330</v>
      </c>
      <c r="I76">
        <v>170</v>
      </c>
      <c r="J76">
        <v>56100</v>
      </c>
      <c r="K76">
        <v>33099</v>
      </c>
      <c r="L76" s="2">
        <v>0.59</v>
      </c>
      <c r="M76" t="s">
        <v>27</v>
      </c>
    </row>
    <row r="77" spans="1:13" x14ac:dyDescent="0.25">
      <c r="A77" t="s">
        <v>47</v>
      </c>
      <c r="B77">
        <v>2025009</v>
      </c>
      <c r="C77" s="1">
        <v>45369</v>
      </c>
      <c r="D77" t="s">
        <v>14</v>
      </c>
      <c r="E77" t="s">
        <v>29</v>
      </c>
      <c r="F77" t="s">
        <v>66</v>
      </c>
      <c r="G77" t="s">
        <v>22</v>
      </c>
      <c r="H77">
        <v>550</v>
      </c>
      <c r="I77">
        <v>190</v>
      </c>
      <c r="J77">
        <v>104500</v>
      </c>
      <c r="K77">
        <v>20900</v>
      </c>
      <c r="L77" s="2">
        <v>0.2</v>
      </c>
      <c r="M77" t="s">
        <v>31</v>
      </c>
    </row>
    <row r="78" spans="1:13" x14ac:dyDescent="0.25">
      <c r="A78" t="s">
        <v>47</v>
      </c>
      <c r="B78">
        <v>2025009</v>
      </c>
      <c r="C78" s="1">
        <v>45370</v>
      </c>
      <c r="D78" t="s">
        <v>14</v>
      </c>
      <c r="E78" t="s">
        <v>29</v>
      </c>
      <c r="F78" t="s">
        <v>66</v>
      </c>
      <c r="G78" t="s">
        <v>23</v>
      </c>
      <c r="H78">
        <v>590</v>
      </c>
      <c r="I78">
        <v>210</v>
      </c>
      <c r="J78">
        <v>123900</v>
      </c>
      <c r="K78">
        <v>12390</v>
      </c>
      <c r="L78" s="2">
        <v>0.1</v>
      </c>
      <c r="M78" t="s">
        <v>31</v>
      </c>
    </row>
    <row r="79" spans="1:13" x14ac:dyDescent="0.25">
      <c r="A79" t="s">
        <v>50</v>
      </c>
      <c r="B79">
        <v>2025010</v>
      </c>
      <c r="C79" s="1">
        <v>45407</v>
      </c>
      <c r="D79" t="s">
        <v>14</v>
      </c>
      <c r="E79" t="s">
        <v>33</v>
      </c>
      <c r="F79" t="s">
        <v>67</v>
      </c>
      <c r="G79" t="s">
        <v>17</v>
      </c>
      <c r="H79">
        <v>480</v>
      </c>
      <c r="I79">
        <v>160</v>
      </c>
      <c r="J79">
        <v>76800</v>
      </c>
      <c r="K79">
        <v>30720</v>
      </c>
      <c r="L79" s="2">
        <v>0.4</v>
      </c>
      <c r="M79" t="s">
        <v>18</v>
      </c>
    </row>
    <row r="80" spans="1:13" x14ac:dyDescent="0.25">
      <c r="A80" t="s">
        <v>50</v>
      </c>
      <c r="B80">
        <v>2025010</v>
      </c>
      <c r="C80" s="1">
        <v>45408</v>
      </c>
      <c r="D80" t="s">
        <v>14</v>
      </c>
      <c r="E80" t="s">
        <v>33</v>
      </c>
      <c r="F80" t="s">
        <v>67</v>
      </c>
      <c r="G80" t="s">
        <v>19</v>
      </c>
      <c r="H80">
        <v>510</v>
      </c>
      <c r="I80">
        <v>150</v>
      </c>
      <c r="J80">
        <v>76500</v>
      </c>
      <c r="K80">
        <v>25763</v>
      </c>
      <c r="L80" s="2">
        <v>0.34</v>
      </c>
      <c r="M80" t="s">
        <v>18</v>
      </c>
    </row>
    <row r="81" spans="1:13" x14ac:dyDescent="0.25">
      <c r="A81" t="s">
        <v>13</v>
      </c>
      <c r="B81">
        <v>2025001</v>
      </c>
      <c r="C81" s="1">
        <v>45427</v>
      </c>
      <c r="D81" t="s">
        <v>14</v>
      </c>
      <c r="E81" t="s">
        <v>36</v>
      </c>
      <c r="F81" t="s">
        <v>68</v>
      </c>
      <c r="G81" t="s">
        <v>20</v>
      </c>
      <c r="H81">
        <v>590</v>
      </c>
      <c r="I81">
        <v>170</v>
      </c>
      <c r="J81">
        <v>100300</v>
      </c>
      <c r="K81">
        <v>35105</v>
      </c>
      <c r="L81" s="2">
        <v>0.35</v>
      </c>
      <c r="M81" t="s">
        <v>18</v>
      </c>
    </row>
    <row r="82" spans="1:13" x14ac:dyDescent="0.25">
      <c r="A82" t="s">
        <v>13</v>
      </c>
      <c r="B82">
        <v>2025001</v>
      </c>
      <c r="C82" s="1">
        <v>45428</v>
      </c>
      <c r="D82" t="s">
        <v>14</v>
      </c>
      <c r="E82" t="s">
        <v>36</v>
      </c>
      <c r="F82" t="s">
        <v>68</v>
      </c>
      <c r="G82" t="s">
        <v>21</v>
      </c>
      <c r="H82">
        <v>620</v>
      </c>
      <c r="I82">
        <v>160</v>
      </c>
      <c r="J82">
        <v>99200</v>
      </c>
      <c r="K82">
        <v>49600</v>
      </c>
      <c r="L82" s="2">
        <v>0.5</v>
      </c>
      <c r="M82" t="s">
        <v>18</v>
      </c>
    </row>
    <row r="83" spans="1:13" x14ac:dyDescent="0.25">
      <c r="A83" t="s">
        <v>24</v>
      </c>
      <c r="B83">
        <v>2025002</v>
      </c>
      <c r="C83" s="1">
        <v>45463</v>
      </c>
      <c r="D83" t="s">
        <v>14</v>
      </c>
      <c r="E83" t="s">
        <v>39</v>
      </c>
      <c r="F83" t="s">
        <v>69</v>
      </c>
      <c r="G83" t="s">
        <v>22</v>
      </c>
      <c r="H83">
        <v>440</v>
      </c>
      <c r="I83">
        <v>140</v>
      </c>
      <c r="J83">
        <v>61600</v>
      </c>
      <c r="K83">
        <v>27720</v>
      </c>
      <c r="L83" s="2">
        <v>0.45</v>
      </c>
      <c r="M83" t="s">
        <v>27</v>
      </c>
    </row>
    <row r="84" spans="1:13" x14ac:dyDescent="0.25">
      <c r="A84" t="s">
        <v>24</v>
      </c>
      <c r="B84">
        <v>2025002</v>
      </c>
      <c r="C84" s="1">
        <v>45464</v>
      </c>
      <c r="D84" t="s">
        <v>14</v>
      </c>
      <c r="E84" t="s">
        <v>39</v>
      </c>
      <c r="F84" t="s">
        <v>69</v>
      </c>
      <c r="G84" t="s">
        <v>23</v>
      </c>
      <c r="H84">
        <v>470</v>
      </c>
      <c r="I84">
        <v>130</v>
      </c>
      <c r="J84">
        <v>61100</v>
      </c>
      <c r="K84">
        <v>42770</v>
      </c>
      <c r="L84" s="2">
        <v>0.7</v>
      </c>
      <c r="M84" t="s">
        <v>27</v>
      </c>
    </row>
    <row r="85" spans="1:13" x14ac:dyDescent="0.25">
      <c r="A85" t="s">
        <v>28</v>
      </c>
      <c r="B85">
        <v>2025003</v>
      </c>
      <c r="C85" s="1">
        <v>45501</v>
      </c>
      <c r="D85" t="s">
        <v>14</v>
      </c>
      <c r="E85" t="s">
        <v>42</v>
      </c>
      <c r="F85" t="s">
        <v>70</v>
      </c>
      <c r="G85" t="s">
        <v>20</v>
      </c>
      <c r="H85">
        <v>1050</v>
      </c>
      <c r="I85">
        <v>110</v>
      </c>
      <c r="J85">
        <v>115500</v>
      </c>
      <c r="K85">
        <v>51975</v>
      </c>
      <c r="L85" s="2">
        <v>0.45</v>
      </c>
      <c r="M85" t="s">
        <v>31</v>
      </c>
    </row>
    <row r="86" spans="1:13" x14ac:dyDescent="0.25">
      <c r="A86" t="s">
        <v>28</v>
      </c>
      <c r="B86">
        <v>2025003</v>
      </c>
      <c r="C86" s="1">
        <v>45502</v>
      </c>
      <c r="D86" t="s">
        <v>14</v>
      </c>
      <c r="E86" t="s">
        <v>42</v>
      </c>
      <c r="F86" t="s">
        <v>70</v>
      </c>
      <c r="G86" t="s">
        <v>21</v>
      </c>
      <c r="H86">
        <v>1090</v>
      </c>
      <c r="I86">
        <v>100</v>
      </c>
      <c r="J86">
        <v>109000</v>
      </c>
      <c r="K86">
        <v>55590</v>
      </c>
      <c r="L86" s="2">
        <v>0.51</v>
      </c>
      <c r="M86" t="s">
        <v>31</v>
      </c>
    </row>
    <row r="87" spans="1:13" x14ac:dyDescent="0.25">
      <c r="A87" t="s">
        <v>32</v>
      </c>
      <c r="B87">
        <v>2025004</v>
      </c>
      <c r="C87" s="1">
        <v>45518</v>
      </c>
      <c r="D87" t="s">
        <v>14</v>
      </c>
      <c r="E87" t="s">
        <v>45</v>
      </c>
      <c r="F87" t="s">
        <v>71</v>
      </c>
      <c r="G87" t="s">
        <v>17</v>
      </c>
      <c r="H87">
        <v>360</v>
      </c>
      <c r="I87">
        <v>120</v>
      </c>
      <c r="J87">
        <v>43200</v>
      </c>
      <c r="K87">
        <v>21600</v>
      </c>
      <c r="L87" s="2">
        <v>0.5</v>
      </c>
      <c r="M87" t="s">
        <v>27</v>
      </c>
    </row>
    <row r="88" spans="1:13" x14ac:dyDescent="0.25">
      <c r="A88" t="s">
        <v>32</v>
      </c>
      <c r="B88">
        <v>2025004</v>
      </c>
      <c r="C88" s="1">
        <v>45519</v>
      </c>
      <c r="D88" t="s">
        <v>14</v>
      </c>
      <c r="E88" t="s">
        <v>45</v>
      </c>
      <c r="F88" t="s">
        <v>71</v>
      </c>
      <c r="G88" t="s">
        <v>19</v>
      </c>
      <c r="H88">
        <v>390</v>
      </c>
      <c r="I88">
        <v>110</v>
      </c>
      <c r="J88">
        <v>42900</v>
      </c>
      <c r="K88">
        <v>17160</v>
      </c>
      <c r="L88" s="2">
        <v>0.4</v>
      </c>
      <c r="M88" t="s">
        <v>27</v>
      </c>
    </row>
    <row r="89" spans="1:13" x14ac:dyDescent="0.25">
      <c r="A89" t="s">
        <v>35</v>
      </c>
      <c r="B89">
        <v>2025005</v>
      </c>
      <c r="C89" s="1">
        <v>45547</v>
      </c>
      <c r="D89" t="s">
        <v>14</v>
      </c>
      <c r="E89" t="s">
        <v>48</v>
      </c>
      <c r="F89" t="s">
        <v>72</v>
      </c>
      <c r="G89" t="s">
        <v>20</v>
      </c>
      <c r="H89">
        <v>450</v>
      </c>
      <c r="I89">
        <v>90</v>
      </c>
      <c r="J89">
        <v>40500</v>
      </c>
      <c r="K89">
        <v>13770</v>
      </c>
      <c r="L89" s="2">
        <v>0.34</v>
      </c>
      <c r="M89" t="s">
        <v>18</v>
      </c>
    </row>
    <row r="90" spans="1:13" x14ac:dyDescent="0.25">
      <c r="A90" t="s">
        <v>35</v>
      </c>
      <c r="B90">
        <v>2025005</v>
      </c>
      <c r="C90" s="1">
        <v>45548</v>
      </c>
      <c r="D90" t="s">
        <v>14</v>
      </c>
      <c r="E90" t="s">
        <v>48</v>
      </c>
      <c r="F90" t="s">
        <v>72</v>
      </c>
      <c r="G90" t="s">
        <v>21</v>
      </c>
      <c r="H90">
        <v>480</v>
      </c>
      <c r="I90">
        <v>80</v>
      </c>
      <c r="J90">
        <v>38400</v>
      </c>
      <c r="K90">
        <v>20736</v>
      </c>
      <c r="L90" s="2">
        <v>0.54</v>
      </c>
      <c r="M90" t="s">
        <v>18</v>
      </c>
    </row>
    <row r="91" spans="1:13" x14ac:dyDescent="0.25">
      <c r="A91" t="s">
        <v>38</v>
      </c>
      <c r="B91">
        <v>2025006</v>
      </c>
      <c r="C91" s="1">
        <v>45583</v>
      </c>
      <c r="D91" t="s">
        <v>14</v>
      </c>
      <c r="E91" t="s">
        <v>15</v>
      </c>
      <c r="F91" t="s">
        <v>73</v>
      </c>
      <c r="G91" t="s">
        <v>22</v>
      </c>
      <c r="H91">
        <v>950</v>
      </c>
      <c r="I91">
        <v>240</v>
      </c>
      <c r="J91">
        <v>228000</v>
      </c>
      <c r="K91">
        <v>136800</v>
      </c>
      <c r="L91" s="2">
        <v>0.6</v>
      </c>
      <c r="M91" t="s">
        <v>31</v>
      </c>
    </row>
    <row r="92" spans="1:13" x14ac:dyDescent="0.25">
      <c r="A92" t="s">
        <v>38</v>
      </c>
      <c r="B92">
        <v>2025006</v>
      </c>
      <c r="C92" s="1">
        <v>45584</v>
      </c>
      <c r="D92" t="s">
        <v>14</v>
      </c>
      <c r="E92" t="s">
        <v>15</v>
      </c>
      <c r="F92" t="s">
        <v>73</v>
      </c>
      <c r="G92" t="s">
        <v>23</v>
      </c>
      <c r="H92">
        <v>990</v>
      </c>
      <c r="I92">
        <v>260</v>
      </c>
      <c r="J92">
        <v>257400</v>
      </c>
      <c r="K92">
        <v>180180</v>
      </c>
      <c r="L92" s="2">
        <v>0.7</v>
      </c>
      <c r="M92" t="s">
        <v>31</v>
      </c>
    </row>
    <row r="93" spans="1:13" x14ac:dyDescent="0.25">
      <c r="A93" t="s">
        <v>41</v>
      </c>
      <c r="B93">
        <v>2025007</v>
      </c>
      <c r="C93" s="1">
        <v>45618</v>
      </c>
      <c r="D93" t="s">
        <v>14</v>
      </c>
      <c r="E93" t="s">
        <v>25</v>
      </c>
      <c r="F93" t="s">
        <v>74</v>
      </c>
      <c r="G93" t="s">
        <v>17</v>
      </c>
      <c r="H93">
        <v>680</v>
      </c>
      <c r="I93">
        <v>180</v>
      </c>
      <c r="J93">
        <v>122400</v>
      </c>
      <c r="K93">
        <v>48960</v>
      </c>
      <c r="L93" s="2">
        <v>0.4</v>
      </c>
      <c r="M93" t="s">
        <v>18</v>
      </c>
    </row>
    <row r="94" spans="1:13" x14ac:dyDescent="0.25">
      <c r="A94" t="s">
        <v>41</v>
      </c>
      <c r="B94">
        <v>2025007</v>
      </c>
      <c r="C94" s="1">
        <v>45619</v>
      </c>
      <c r="D94" t="s">
        <v>14</v>
      </c>
      <c r="E94" t="s">
        <v>25</v>
      </c>
      <c r="F94" t="s">
        <v>74</v>
      </c>
      <c r="G94" t="s">
        <v>19</v>
      </c>
      <c r="H94">
        <v>720</v>
      </c>
      <c r="I94">
        <v>170</v>
      </c>
      <c r="J94">
        <v>122400</v>
      </c>
      <c r="K94">
        <v>36720</v>
      </c>
      <c r="L94" s="2">
        <v>0.3</v>
      </c>
      <c r="M94" t="s">
        <v>18</v>
      </c>
    </row>
    <row r="95" spans="1:13" x14ac:dyDescent="0.25">
      <c r="A95" t="s">
        <v>44</v>
      </c>
      <c r="B95">
        <v>2025008</v>
      </c>
      <c r="C95" s="1">
        <v>45311</v>
      </c>
      <c r="D95" t="s">
        <v>14</v>
      </c>
      <c r="E95" t="s">
        <v>29</v>
      </c>
      <c r="F95" t="s">
        <v>75</v>
      </c>
      <c r="G95" t="s">
        <v>20</v>
      </c>
      <c r="H95">
        <v>290</v>
      </c>
      <c r="I95">
        <v>100</v>
      </c>
      <c r="J95">
        <v>29000</v>
      </c>
      <c r="K95">
        <v>15950</v>
      </c>
      <c r="L95" s="2">
        <v>0.55000000000000004</v>
      </c>
      <c r="M95" t="s">
        <v>27</v>
      </c>
    </row>
    <row r="96" spans="1:13" x14ac:dyDescent="0.25">
      <c r="A96" t="s">
        <v>44</v>
      </c>
      <c r="B96">
        <v>2025008</v>
      </c>
      <c r="C96" s="1">
        <v>45312</v>
      </c>
      <c r="D96" t="s">
        <v>14</v>
      </c>
      <c r="E96" t="s">
        <v>29</v>
      </c>
      <c r="F96" t="s">
        <v>75</v>
      </c>
      <c r="G96" t="s">
        <v>21</v>
      </c>
      <c r="H96">
        <v>310</v>
      </c>
      <c r="I96">
        <v>95</v>
      </c>
      <c r="J96">
        <v>29450</v>
      </c>
      <c r="K96">
        <v>17670</v>
      </c>
      <c r="L96" s="2">
        <v>0.6</v>
      </c>
      <c r="M96" t="s">
        <v>27</v>
      </c>
    </row>
    <row r="97" spans="1:13" x14ac:dyDescent="0.25">
      <c r="A97" t="s">
        <v>47</v>
      </c>
      <c r="B97">
        <v>2025009</v>
      </c>
      <c r="C97" s="1">
        <v>45350</v>
      </c>
      <c r="D97" t="s">
        <v>14</v>
      </c>
      <c r="E97" t="s">
        <v>36</v>
      </c>
      <c r="F97" t="s">
        <v>76</v>
      </c>
      <c r="G97" t="s">
        <v>22</v>
      </c>
      <c r="H97">
        <v>490</v>
      </c>
      <c r="I97">
        <v>130</v>
      </c>
      <c r="J97">
        <v>63700</v>
      </c>
      <c r="K97">
        <v>12740</v>
      </c>
      <c r="L97" s="2">
        <v>0.2</v>
      </c>
      <c r="M97" t="s">
        <v>31</v>
      </c>
    </row>
    <row r="98" spans="1:13" x14ac:dyDescent="0.25">
      <c r="A98" t="s">
        <v>47</v>
      </c>
      <c r="B98">
        <v>2025009</v>
      </c>
      <c r="C98" s="1">
        <v>45352</v>
      </c>
      <c r="D98" t="s">
        <v>14</v>
      </c>
      <c r="E98" t="s">
        <v>36</v>
      </c>
      <c r="F98" t="s">
        <v>76</v>
      </c>
      <c r="G98" t="s">
        <v>23</v>
      </c>
      <c r="H98">
        <v>510</v>
      </c>
      <c r="I98">
        <v>140</v>
      </c>
      <c r="J98">
        <v>71400</v>
      </c>
      <c r="K98">
        <v>5712</v>
      </c>
      <c r="L98" s="2">
        <v>0.08</v>
      </c>
      <c r="M98" t="s">
        <v>31</v>
      </c>
    </row>
    <row r="99" spans="1:13" x14ac:dyDescent="0.25">
      <c r="A99" t="s">
        <v>50</v>
      </c>
      <c r="B99">
        <v>2025010</v>
      </c>
      <c r="C99" s="1">
        <v>45392</v>
      </c>
      <c r="D99" t="s">
        <v>14</v>
      </c>
      <c r="E99" t="s">
        <v>39</v>
      </c>
      <c r="F99" t="s">
        <v>77</v>
      </c>
      <c r="G99" t="s">
        <v>20</v>
      </c>
      <c r="H99">
        <v>410</v>
      </c>
      <c r="I99">
        <v>100</v>
      </c>
      <c r="J99">
        <v>41000</v>
      </c>
      <c r="K99">
        <v>16400</v>
      </c>
      <c r="L99" s="2">
        <v>0.4</v>
      </c>
      <c r="M99" t="s">
        <v>18</v>
      </c>
    </row>
    <row r="100" spans="1:13" x14ac:dyDescent="0.25">
      <c r="A100" t="s">
        <v>50</v>
      </c>
      <c r="B100">
        <v>2025010</v>
      </c>
      <c r="C100" s="1">
        <v>45393</v>
      </c>
      <c r="D100" t="s">
        <v>14</v>
      </c>
      <c r="E100" t="s">
        <v>39</v>
      </c>
      <c r="F100" t="s">
        <v>77</v>
      </c>
      <c r="G100" t="s">
        <v>21</v>
      </c>
      <c r="H100">
        <v>430</v>
      </c>
      <c r="I100">
        <v>90</v>
      </c>
      <c r="J100">
        <v>38700</v>
      </c>
      <c r="K100">
        <v>19350</v>
      </c>
      <c r="L100" s="2">
        <v>0.5</v>
      </c>
      <c r="M100" t="s">
        <v>18</v>
      </c>
    </row>
    <row r="101" spans="1:13" x14ac:dyDescent="0.25">
      <c r="A101" t="s">
        <v>13</v>
      </c>
      <c r="B101">
        <v>2025001</v>
      </c>
      <c r="C101" s="1">
        <v>45437</v>
      </c>
      <c r="D101" t="s">
        <v>14</v>
      </c>
      <c r="E101" t="s">
        <v>42</v>
      </c>
      <c r="F101" t="s">
        <v>78</v>
      </c>
      <c r="G101" t="s">
        <v>17</v>
      </c>
      <c r="H101">
        <v>720</v>
      </c>
      <c r="I101">
        <v>210</v>
      </c>
      <c r="J101">
        <v>151200</v>
      </c>
      <c r="K101">
        <v>75600</v>
      </c>
      <c r="L101" s="2">
        <v>0.5</v>
      </c>
      <c r="M101" t="s">
        <v>18</v>
      </c>
    </row>
    <row r="102" spans="1:13" x14ac:dyDescent="0.25">
      <c r="A102" t="s">
        <v>13</v>
      </c>
      <c r="B102">
        <v>2025001</v>
      </c>
      <c r="C102" s="1">
        <v>45438</v>
      </c>
      <c r="D102" t="s">
        <v>14</v>
      </c>
      <c r="E102" t="s">
        <v>42</v>
      </c>
      <c r="F102" t="s">
        <v>78</v>
      </c>
      <c r="G102" t="s">
        <v>19</v>
      </c>
      <c r="H102">
        <v>760</v>
      </c>
      <c r="I102">
        <v>190</v>
      </c>
      <c r="J102">
        <v>144400</v>
      </c>
      <c r="K102">
        <v>38988</v>
      </c>
      <c r="L102" s="2">
        <v>0.27</v>
      </c>
      <c r="M102" t="s">
        <v>18</v>
      </c>
    </row>
    <row r="103" spans="1:13" x14ac:dyDescent="0.25">
      <c r="A103" t="s">
        <v>24</v>
      </c>
      <c r="B103">
        <v>2025002</v>
      </c>
      <c r="C103" s="1">
        <v>45473</v>
      </c>
      <c r="D103" t="s">
        <v>14</v>
      </c>
      <c r="E103" t="s">
        <v>45</v>
      </c>
      <c r="F103" t="s">
        <v>79</v>
      </c>
      <c r="G103" t="s">
        <v>20</v>
      </c>
      <c r="H103">
        <v>410</v>
      </c>
      <c r="I103">
        <v>190</v>
      </c>
      <c r="J103">
        <v>77900</v>
      </c>
      <c r="K103">
        <v>38950</v>
      </c>
      <c r="L103" s="2">
        <v>0.5</v>
      </c>
      <c r="M103" t="s">
        <v>27</v>
      </c>
    </row>
    <row r="104" spans="1:13" x14ac:dyDescent="0.25">
      <c r="A104" t="s">
        <v>24</v>
      </c>
      <c r="B104">
        <v>2025002</v>
      </c>
      <c r="C104" s="1">
        <v>45474</v>
      </c>
      <c r="D104" t="s">
        <v>14</v>
      </c>
      <c r="E104" t="s">
        <v>45</v>
      </c>
      <c r="F104" t="s">
        <v>79</v>
      </c>
      <c r="G104" t="s">
        <v>21</v>
      </c>
      <c r="H104">
        <v>440</v>
      </c>
      <c r="I104">
        <v>180</v>
      </c>
      <c r="J104">
        <v>79200</v>
      </c>
      <c r="K104">
        <v>49104</v>
      </c>
      <c r="L104" s="2">
        <v>0.62</v>
      </c>
      <c r="M104" t="s">
        <v>27</v>
      </c>
    </row>
    <row r="105" spans="1:13" x14ac:dyDescent="0.25">
      <c r="A105" t="s">
        <v>28</v>
      </c>
      <c r="B105">
        <v>2025003</v>
      </c>
      <c r="C105" s="1">
        <v>45512</v>
      </c>
      <c r="D105" t="s">
        <v>14</v>
      </c>
      <c r="E105" t="s">
        <v>48</v>
      </c>
      <c r="F105" t="s">
        <v>80</v>
      </c>
      <c r="G105" t="s">
        <v>23</v>
      </c>
      <c r="H105">
        <v>1140</v>
      </c>
      <c r="I105">
        <v>70</v>
      </c>
      <c r="J105">
        <v>79800</v>
      </c>
      <c r="K105">
        <v>31920</v>
      </c>
      <c r="L105" s="2">
        <v>0.4</v>
      </c>
      <c r="M105" t="s">
        <v>31</v>
      </c>
    </row>
    <row r="106" spans="1:13" x14ac:dyDescent="0.25">
      <c r="A106" t="s">
        <v>32</v>
      </c>
      <c r="B106">
        <v>2025004</v>
      </c>
      <c r="C106" s="1">
        <v>45557</v>
      </c>
      <c r="D106" t="s">
        <v>14</v>
      </c>
      <c r="E106" t="s">
        <v>15</v>
      </c>
      <c r="F106" t="s">
        <v>81</v>
      </c>
      <c r="G106" t="s">
        <v>17</v>
      </c>
      <c r="H106">
        <v>380</v>
      </c>
      <c r="I106">
        <v>170</v>
      </c>
      <c r="J106">
        <v>64600</v>
      </c>
      <c r="K106">
        <v>22610</v>
      </c>
      <c r="L106" s="2">
        <v>0.35</v>
      </c>
      <c r="M106" t="s">
        <v>27</v>
      </c>
    </row>
    <row r="107" spans="1:13" x14ac:dyDescent="0.25">
      <c r="A107" t="s">
        <v>13</v>
      </c>
      <c r="B107">
        <v>2025001</v>
      </c>
      <c r="C107" s="1">
        <v>45478</v>
      </c>
      <c r="D107" t="s">
        <v>14</v>
      </c>
      <c r="E107" t="s">
        <v>15</v>
      </c>
      <c r="F107" t="s">
        <v>16</v>
      </c>
      <c r="G107" t="s">
        <v>17</v>
      </c>
      <c r="H107">
        <v>780</v>
      </c>
      <c r="I107">
        <v>720</v>
      </c>
      <c r="J107">
        <v>561600</v>
      </c>
      <c r="K107">
        <v>280800</v>
      </c>
      <c r="L107" s="2">
        <v>0.5</v>
      </c>
      <c r="M107" t="s">
        <v>18</v>
      </c>
    </row>
    <row r="108" spans="1:13" x14ac:dyDescent="0.25">
      <c r="A108" t="s">
        <v>13</v>
      </c>
      <c r="B108">
        <v>2025001</v>
      </c>
      <c r="C108" s="1">
        <v>45479</v>
      </c>
      <c r="D108" t="s">
        <v>14</v>
      </c>
      <c r="E108" t="s">
        <v>15</v>
      </c>
      <c r="F108" t="s">
        <v>16</v>
      </c>
      <c r="G108" t="s">
        <v>19</v>
      </c>
      <c r="H108">
        <v>820</v>
      </c>
      <c r="I108">
        <v>650</v>
      </c>
      <c r="J108">
        <v>533000</v>
      </c>
      <c r="K108">
        <v>159900</v>
      </c>
      <c r="L108" s="2">
        <v>0.3</v>
      </c>
      <c r="M108" t="s">
        <v>18</v>
      </c>
    </row>
    <row r="109" spans="1:13" x14ac:dyDescent="0.25">
      <c r="A109" t="s">
        <v>13</v>
      </c>
      <c r="B109">
        <v>2025001</v>
      </c>
      <c r="C109" s="1">
        <v>45480</v>
      </c>
      <c r="D109" t="s">
        <v>14</v>
      </c>
      <c r="E109" t="s">
        <v>15</v>
      </c>
      <c r="F109" t="s">
        <v>16</v>
      </c>
      <c r="G109" t="s">
        <v>20</v>
      </c>
      <c r="H109">
        <v>680</v>
      </c>
      <c r="I109">
        <v>780</v>
      </c>
      <c r="J109">
        <v>530400</v>
      </c>
      <c r="K109">
        <v>185640</v>
      </c>
      <c r="L109" s="2">
        <v>0.35</v>
      </c>
      <c r="M109" t="s">
        <v>18</v>
      </c>
    </row>
    <row r="110" spans="1:13" x14ac:dyDescent="0.25">
      <c r="A110" t="s">
        <v>13</v>
      </c>
      <c r="B110">
        <v>2025001</v>
      </c>
      <c r="C110" s="1">
        <v>45481</v>
      </c>
      <c r="D110" t="s">
        <v>14</v>
      </c>
      <c r="E110" t="s">
        <v>15</v>
      </c>
      <c r="F110" t="s">
        <v>16</v>
      </c>
      <c r="G110" t="s">
        <v>21</v>
      </c>
      <c r="H110">
        <v>730</v>
      </c>
      <c r="I110">
        <v>700</v>
      </c>
      <c r="J110">
        <v>511000</v>
      </c>
      <c r="K110">
        <v>178850</v>
      </c>
      <c r="L110" s="2">
        <v>0.35</v>
      </c>
      <c r="M110" t="s">
        <v>18</v>
      </c>
    </row>
    <row r="111" spans="1:13" x14ac:dyDescent="0.25">
      <c r="A111" t="s">
        <v>24</v>
      </c>
      <c r="B111">
        <v>2025002</v>
      </c>
      <c r="C111" s="1">
        <v>45516</v>
      </c>
      <c r="D111" t="s">
        <v>14</v>
      </c>
      <c r="E111" t="s">
        <v>25</v>
      </c>
      <c r="F111" t="s">
        <v>26</v>
      </c>
      <c r="G111" t="s">
        <v>17</v>
      </c>
      <c r="H111">
        <v>1250</v>
      </c>
      <c r="I111">
        <v>980</v>
      </c>
      <c r="J111">
        <v>1225000</v>
      </c>
      <c r="K111">
        <v>612500</v>
      </c>
      <c r="L111" s="2">
        <v>0.5</v>
      </c>
      <c r="M111" t="s">
        <v>27</v>
      </c>
    </row>
    <row r="112" spans="1:13" x14ac:dyDescent="0.25">
      <c r="A112" t="s">
        <v>24</v>
      </c>
      <c r="B112">
        <v>2025002</v>
      </c>
      <c r="C112" s="1">
        <v>45517</v>
      </c>
      <c r="D112" t="s">
        <v>14</v>
      </c>
      <c r="E112" t="s">
        <v>25</v>
      </c>
      <c r="F112" t="s">
        <v>26</v>
      </c>
      <c r="G112" t="s">
        <v>19</v>
      </c>
      <c r="H112">
        <v>1150</v>
      </c>
      <c r="I112">
        <v>870</v>
      </c>
      <c r="J112">
        <v>1000500</v>
      </c>
      <c r="K112">
        <v>300150</v>
      </c>
      <c r="L112" s="2">
        <v>0.3</v>
      </c>
      <c r="M112" t="s">
        <v>27</v>
      </c>
    </row>
    <row r="113" spans="1:13" x14ac:dyDescent="0.25">
      <c r="A113" t="s">
        <v>24</v>
      </c>
      <c r="B113">
        <v>2025002</v>
      </c>
      <c r="C113" s="1">
        <v>45518</v>
      </c>
      <c r="D113" t="s">
        <v>14</v>
      </c>
      <c r="E113" t="s">
        <v>25</v>
      </c>
      <c r="F113" t="s">
        <v>26</v>
      </c>
      <c r="G113" t="s">
        <v>20</v>
      </c>
      <c r="H113">
        <v>1020</v>
      </c>
      <c r="I113">
        <v>920</v>
      </c>
      <c r="J113">
        <v>938400</v>
      </c>
      <c r="K113">
        <v>328440</v>
      </c>
      <c r="L113" s="2">
        <v>0.35</v>
      </c>
      <c r="M113" t="s">
        <v>27</v>
      </c>
    </row>
    <row r="114" spans="1:13" x14ac:dyDescent="0.25">
      <c r="A114" t="s">
        <v>24</v>
      </c>
      <c r="B114">
        <v>2025002</v>
      </c>
      <c r="C114" s="1">
        <v>45519</v>
      </c>
      <c r="D114" t="s">
        <v>14</v>
      </c>
      <c r="E114" t="s">
        <v>25</v>
      </c>
      <c r="F114" t="s">
        <v>26</v>
      </c>
      <c r="G114" t="s">
        <v>21</v>
      </c>
      <c r="H114">
        <v>1080</v>
      </c>
      <c r="I114">
        <v>880</v>
      </c>
      <c r="J114">
        <v>950400</v>
      </c>
      <c r="K114">
        <v>332640</v>
      </c>
      <c r="L114" s="2">
        <v>0.35</v>
      </c>
      <c r="M114" t="s">
        <v>27</v>
      </c>
    </row>
    <row r="115" spans="1:13" x14ac:dyDescent="0.25">
      <c r="A115" t="s">
        <v>28</v>
      </c>
      <c r="B115">
        <v>2025003</v>
      </c>
      <c r="C115" s="1">
        <v>45555</v>
      </c>
      <c r="D115" t="s">
        <v>14</v>
      </c>
      <c r="E115" t="s">
        <v>29</v>
      </c>
      <c r="F115" t="s">
        <v>30</v>
      </c>
      <c r="G115" t="s">
        <v>17</v>
      </c>
      <c r="H115">
        <v>1380</v>
      </c>
      <c r="I115">
        <v>580</v>
      </c>
      <c r="J115">
        <v>800400</v>
      </c>
      <c r="K115">
        <v>400200</v>
      </c>
      <c r="L115" s="2">
        <v>0.5</v>
      </c>
      <c r="M115" t="s">
        <v>31</v>
      </c>
    </row>
    <row r="116" spans="1:13" x14ac:dyDescent="0.25">
      <c r="A116" t="s">
        <v>28</v>
      </c>
      <c r="B116">
        <v>2025003</v>
      </c>
      <c r="C116" s="1">
        <v>45556</v>
      </c>
      <c r="D116" t="s">
        <v>14</v>
      </c>
      <c r="E116" t="s">
        <v>29</v>
      </c>
      <c r="F116" t="s">
        <v>30</v>
      </c>
      <c r="G116" t="s">
        <v>19</v>
      </c>
      <c r="H116">
        <v>1280</v>
      </c>
      <c r="I116">
        <v>540</v>
      </c>
      <c r="J116">
        <v>691200</v>
      </c>
      <c r="K116">
        <v>207360</v>
      </c>
      <c r="L116" s="2">
        <v>0.3</v>
      </c>
      <c r="M116" t="s">
        <v>31</v>
      </c>
    </row>
    <row r="117" spans="1:13" x14ac:dyDescent="0.25">
      <c r="A117" t="s">
        <v>28</v>
      </c>
      <c r="B117">
        <v>2025003</v>
      </c>
      <c r="C117" s="1">
        <v>45557</v>
      </c>
      <c r="D117" t="s">
        <v>14</v>
      </c>
      <c r="E117" t="s">
        <v>29</v>
      </c>
      <c r="F117" t="s">
        <v>30</v>
      </c>
      <c r="G117" t="s">
        <v>20</v>
      </c>
      <c r="H117">
        <v>1150</v>
      </c>
      <c r="I117">
        <v>570</v>
      </c>
      <c r="J117">
        <v>655500</v>
      </c>
      <c r="K117">
        <v>229425</v>
      </c>
      <c r="L117" s="2">
        <v>0.35</v>
      </c>
      <c r="M117" t="s">
        <v>31</v>
      </c>
    </row>
    <row r="118" spans="1:13" x14ac:dyDescent="0.25">
      <c r="A118" t="s">
        <v>28</v>
      </c>
      <c r="B118">
        <v>2025003</v>
      </c>
      <c r="C118" s="1">
        <v>45558</v>
      </c>
      <c r="D118" t="s">
        <v>14</v>
      </c>
      <c r="E118" t="s">
        <v>29</v>
      </c>
      <c r="F118" t="s">
        <v>30</v>
      </c>
      <c r="G118" t="s">
        <v>21</v>
      </c>
      <c r="H118">
        <v>1190</v>
      </c>
      <c r="I118">
        <v>520</v>
      </c>
      <c r="J118">
        <v>618800</v>
      </c>
      <c r="K118">
        <v>216580</v>
      </c>
      <c r="L118" s="2">
        <v>0.35</v>
      </c>
      <c r="M118" t="s">
        <v>31</v>
      </c>
    </row>
    <row r="119" spans="1:13" x14ac:dyDescent="0.25">
      <c r="A119" t="s">
        <v>32</v>
      </c>
      <c r="B119">
        <v>2025004</v>
      </c>
      <c r="C119" s="1">
        <v>45570</v>
      </c>
      <c r="D119" t="s">
        <v>14</v>
      </c>
      <c r="E119" t="s">
        <v>33</v>
      </c>
      <c r="F119" t="s">
        <v>34</v>
      </c>
      <c r="G119" t="s">
        <v>17</v>
      </c>
      <c r="H119">
        <v>540</v>
      </c>
      <c r="I119">
        <v>390</v>
      </c>
      <c r="J119">
        <v>210600</v>
      </c>
      <c r="K119">
        <v>105300</v>
      </c>
      <c r="L119" s="2">
        <v>0.5</v>
      </c>
      <c r="M119" t="s">
        <v>27</v>
      </c>
    </row>
    <row r="120" spans="1:13" x14ac:dyDescent="0.25">
      <c r="A120" t="s">
        <v>32</v>
      </c>
      <c r="B120">
        <v>2025004</v>
      </c>
      <c r="C120" s="1">
        <v>45571</v>
      </c>
      <c r="D120" t="s">
        <v>14</v>
      </c>
      <c r="E120" t="s">
        <v>33</v>
      </c>
      <c r="F120" t="s">
        <v>34</v>
      </c>
      <c r="G120" t="s">
        <v>19</v>
      </c>
      <c r="H120">
        <v>510</v>
      </c>
      <c r="I120">
        <v>360</v>
      </c>
      <c r="J120">
        <v>183600</v>
      </c>
      <c r="K120">
        <v>82620</v>
      </c>
      <c r="L120" s="2">
        <v>0.45</v>
      </c>
      <c r="M120" t="s">
        <v>27</v>
      </c>
    </row>
    <row r="121" spans="1:13" x14ac:dyDescent="0.25">
      <c r="A121" t="s">
        <v>32</v>
      </c>
      <c r="B121">
        <v>2025004</v>
      </c>
      <c r="C121" s="1">
        <v>45572</v>
      </c>
      <c r="D121" t="s">
        <v>14</v>
      </c>
      <c r="E121" t="s">
        <v>33</v>
      </c>
      <c r="F121" t="s">
        <v>34</v>
      </c>
      <c r="G121" t="s">
        <v>20</v>
      </c>
      <c r="H121">
        <v>410</v>
      </c>
      <c r="I121">
        <v>330</v>
      </c>
      <c r="J121">
        <v>135300</v>
      </c>
      <c r="K121">
        <v>74355</v>
      </c>
      <c r="L121" s="2">
        <v>0.55000000000000004</v>
      </c>
      <c r="M121" t="s">
        <v>27</v>
      </c>
    </row>
    <row r="122" spans="1:13" x14ac:dyDescent="0.25">
      <c r="A122" t="s">
        <v>32</v>
      </c>
      <c r="B122">
        <v>2025004</v>
      </c>
      <c r="C122" s="1">
        <v>45573</v>
      </c>
      <c r="D122" t="s">
        <v>14</v>
      </c>
      <c r="E122" t="s">
        <v>33</v>
      </c>
      <c r="F122" t="s">
        <v>34</v>
      </c>
      <c r="G122" t="s">
        <v>21</v>
      </c>
      <c r="H122">
        <v>450</v>
      </c>
      <c r="I122">
        <v>310</v>
      </c>
      <c r="J122">
        <v>139500</v>
      </c>
      <c r="K122">
        <v>83700</v>
      </c>
      <c r="L122" s="2">
        <v>0.6</v>
      </c>
      <c r="M122" t="s">
        <v>27</v>
      </c>
    </row>
    <row r="123" spans="1:13" x14ac:dyDescent="0.25">
      <c r="A123" t="s">
        <v>35</v>
      </c>
      <c r="B123">
        <v>2025005</v>
      </c>
      <c r="C123" s="1">
        <v>45590</v>
      </c>
      <c r="D123" t="s">
        <v>14</v>
      </c>
      <c r="E123" t="s">
        <v>36</v>
      </c>
      <c r="F123" t="s">
        <v>37</v>
      </c>
      <c r="G123" t="s">
        <v>17</v>
      </c>
      <c r="H123">
        <v>980</v>
      </c>
      <c r="I123">
        <v>200</v>
      </c>
      <c r="J123">
        <v>196000</v>
      </c>
      <c r="K123">
        <v>78400</v>
      </c>
      <c r="L123" s="2">
        <v>0.4</v>
      </c>
      <c r="M123" t="s">
        <v>18</v>
      </c>
    </row>
    <row r="124" spans="1:13" x14ac:dyDescent="0.25">
      <c r="A124" t="s">
        <v>35</v>
      </c>
      <c r="B124">
        <v>2025005</v>
      </c>
      <c r="C124" s="1">
        <v>45591</v>
      </c>
      <c r="D124" t="s">
        <v>14</v>
      </c>
      <c r="E124" t="s">
        <v>36</v>
      </c>
      <c r="F124" t="s">
        <v>37</v>
      </c>
      <c r="G124" t="s">
        <v>19</v>
      </c>
      <c r="H124">
        <v>920</v>
      </c>
      <c r="I124">
        <v>170</v>
      </c>
      <c r="J124">
        <v>156400</v>
      </c>
      <c r="K124">
        <v>46920</v>
      </c>
      <c r="L124" s="2">
        <v>0.3</v>
      </c>
      <c r="M124" t="s">
        <v>18</v>
      </c>
    </row>
    <row r="125" spans="1:13" x14ac:dyDescent="0.25">
      <c r="A125" t="s">
        <v>35</v>
      </c>
      <c r="B125">
        <v>2025005</v>
      </c>
      <c r="C125" s="1">
        <v>45592</v>
      </c>
      <c r="D125" t="s">
        <v>14</v>
      </c>
      <c r="E125" t="s">
        <v>36</v>
      </c>
      <c r="F125" t="s">
        <v>37</v>
      </c>
      <c r="G125" t="s">
        <v>20</v>
      </c>
      <c r="H125">
        <v>810</v>
      </c>
      <c r="I125">
        <v>190</v>
      </c>
      <c r="J125">
        <v>153900</v>
      </c>
      <c r="K125">
        <v>53865</v>
      </c>
      <c r="L125" s="2">
        <v>0.35</v>
      </c>
      <c r="M125" t="s">
        <v>18</v>
      </c>
    </row>
    <row r="126" spans="1:13" x14ac:dyDescent="0.25">
      <c r="A126" t="s">
        <v>35</v>
      </c>
      <c r="B126">
        <v>2025005</v>
      </c>
      <c r="C126" s="1">
        <v>45593</v>
      </c>
      <c r="D126" t="s">
        <v>14</v>
      </c>
      <c r="E126" t="s">
        <v>36</v>
      </c>
      <c r="F126" t="s">
        <v>37</v>
      </c>
      <c r="G126" t="s">
        <v>21</v>
      </c>
      <c r="H126">
        <v>850</v>
      </c>
      <c r="I126">
        <v>180</v>
      </c>
      <c r="J126">
        <v>153000</v>
      </c>
      <c r="K126">
        <v>53550</v>
      </c>
      <c r="L126" s="2">
        <v>0.35</v>
      </c>
      <c r="M126" t="s">
        <v>18</v>
      </c>
    </row>
    <row r="127" spans="1:13" x14ac:dyDescent="0.25">
      <c r="A127" t="s">
        <v>38</v>
      </c>
      <c r="B127">
        <v>2025006</v>
      </c>
      <c r="C127" s="1">
        <v>45598</v>
      </c>
      <c r="D127" t="s">
        <v>14</v>
      </c>
      <c r="E127" t="s">
        <v>39</v>
      </c>
      <c r="F127" t="s">
        <v>40</v>
      </c>
      <c r="G127" t="s">
        <v>17</v>
      </c>
      <c r="H127">
        <v>1150</v>
      </c>
      <c r="I127">
        <v>290</v>
      </c>
      <c r="J127">
        <v>333500</v>
      </c>
      <c r="K127">
        <v>166750</v>
      </c>
      <c r="L127" s="2">
        <v>0.5</v>
      </c>
      <c r="M127" t="s">
        <v>31</v>
      </c>
    </row>
    <row r="128" spans="1:13" x14ac:dyDescent="0.25">
      <c r="A128" t="s">
        <v>38</v>
      </c>
      <c r="B128">
        <v>2025006</v>
      </c>
      <c r="C128" s="1">
        <v>45599</v>
      </c>
      <c r="D128" t="s">
        <v>14</v>
      </c>
      <c r="E128" t="s">
        <v>39</v>
      </c>
      <c r="F128" t="s">
        <v>40</v>
      </c>
      <c r="G128" t="s">
        <v>19</v>
      </c>
      <c r="H128">
        <v>1100</v>
      </c>
      <c r="I128">
        <v>270</v>
      </c>
      <c r="J128">
        <v>297000</v>
      </c>
      <c r="K128">
        <v>148500</v>
      </c>
      <c r="L128" s="2">
        <v>0.5</v>
      </c>
      <c r="M128" t="s">
        <v>31</v>
      </c>
    </row>
    <row r="129" spans="1:13" x14ac:dyDescent="0.25">
      <c r="A129" t="s">
        <v>38</v>
      </c>
      <c r="B129">
        <v>2025006</v>
      </c>
      <c r="C129" s="1">
        <v>45600</v>
      </c>
      <c r="D129" t="s">
        <v>14</v>
      </c>
      <c r="E129" t="s">
        <v>39</v>
      </c>
      <c r="F129" t="s">
        <v>40</v>
      </c>
      <c r="G129" t="s">
        <v>20</v>
      </c>
      <c r="H129">
        <v>1020</v>
      </c>
      <c r="I129">
        <v>250</v>
      </c>
      <c r="J129">
        <v>255000</v>
      </c>
      <c r="K129">
        <v>137700</v>
      </c>
      <c r="L129" s="2">
        <v>0.54</v>
      </c>
      <c r="M129" t="s">
        <v>31</v>
      </c>
    </row>
    <row r="130" spans="1:13" x14ac:dyDescent="0.25">
      <c r="A130" t="s">
        <v>38</v>
      </c>
      <c r="B130">
        <v>2025006</v>
      </c>
      <c r="C130" s="1">
        <v>45601</v>
      </c>
      <c r="D130" t="s">
        <v>14</v>
      </c>
      <c r="E130" t="s">
        <v>39</v>
      </c>
      <c r="F130" t="s">
        <v>40</v>
      </c>
      <c r="G130" t="s">
        <v>21</v>
      </c>
      <c r="H130">
        <v>1070</v>
      </c>
      <c r="I130">
        <v>240</v>
      </c>
      <c r="J130">
        <v>256800</v>
      </c>
      <c r="K130">
        <v>154080</v>
      </c>
      <c r="L130" s="2">
        <v>0.6</v>
      </c>
      <c r="M130" t="s">
        <v>31</v>
      </c>
    </row>
    <row r="131" spans="1:13" x14ac:dyDescent="0.25">
      <c r="A131" t="s">
        <v>41</v>
      </c>
      <c r="B131">
        <v>2025007</v>
      </c>
      <c r="C131" s="1">
        <v>45461</v>
      </c>
      <c r="D131" t="s">
        <v>14</v>
      </c>
      <c r="E131" t="s">
        <v>42</v>
      </c>
      <c r="F131" t="s">
        <v>43</v>
      </c>
      <c r="G131" t="s">
        <v>22</v>
      </c>
      <c r="H131">
        <v>880</v>
      </c>
      <c r="I131">
        <v>170</v>
      </c>
      <c r="J131">
        <v>149600</v>
      </c>
      <c r="K131">
        <v>37400</v>
      </c>
      <c r="L131" s="2">
        <v>0.25</v>
      </c>
      <c r="M131" t="s">
        <v>18</v>
      </c>
    </row>
    <row r="132" spans="1:13" x14ac:dyDescent="0.25">
      <c r="A132" t="s">
        <v>41</v>
      </c>
      <c r="B132">
        <v>2025007</v>
      </c>
      <c r="C132" s="1">
        <v>45462</v>
      </c>
      <c r="D132" t="s">
        <v>14</v>
      </c>
      <c r="E132" t="s">
        <v>42</v>
      </c>
      <c r="F132" t="s">
        <v>43</v>
      </c>
      <c r="G132" t="s">
        <v>23</v>
      </c>
      <c r="H132">
        <v>910</v>
      </c>
      <c r="I132">
        <v>190</v>
      </c>
      <c r="J132">
        <v>172900</v>
      </c>
      <c r="K132">
        <v>25935</v>
      </c>
      <c r="L132" s="2">
        <v>0.15</v>
      </c>
      <c r="M132" t="s">
        <v>18</v>
      </c>
    </row>
    <row r="133" spans="1:13" x14ac:dyDescent="0.25">
      <c r="A133" t="s">
        <v>41</v>
      </c>
      <c r="B133">
        <v>2025007</v>
      </c>
      <c r="C133" s="1">
        <v>45463</v>
      </c>
      <c r="D133" t="s">
        <v>14</v>
      </c>
      <c r="E133" t="s">
        <v>42</v>
      </c>
      <c r="F133" t="s">
        <v>43</v>
      </c>
      <c r="G133" t="s">
        <v>17</v>
      </c>
      <c r="H133">
        <v>750</v>
      </c>
      <c r="I133">
        <v>210</v>
      </c>
      <c r="J133">
        <v>157500</v>
      </c>
      <c r="K133">
        <v>78750</v>
      </c>
      <c r="L133" s="2">
        <v>0.5</v>
      </c>
      <c r="M133" t="s">
        <v>18</v>
      </c>
    </row>
    <row r="134" spans="1:13" x14ac:dyDescent="0.25">
      <c r="A134" t="s">
        <v>41</v>
      </c>
      <c r="B134">
        <v>2025007</v>
      </c>
      <c r="C134" s="1">
        <v>45464</v>
      </c>
      <c r="D134" t="s">
        <v>14</v>
      </c>
      <c r="E134" t="s">
        <v>42</v>
      </c>
      <c r="F134" t="s">
        <v>43</v>
      </c>
      <c r="G134" t="s">
        <v>19</v>
      </c>
      <c r="H134">
        <v>790</v>
      </c>
      <c r="I134">
        <v>190</v>
      </c>
      <c r="J134">
        <v>150100</v>
      </c>
      <c r="K134">
        <v>60040</v>
      </c>
      <c r="L134" s="2">
        <v>0.4</v>
      </c>
      <c r="M134" t="s">
        <v>18</v>
      </c>
    </row>
    <row r="135" spans="1:13" x14ac:dyDescent="0.25">
      <c r="A135" t="s">
        <v>44</v>
      </c>
      <c r="B135">
        <v>2025008</v>
      </c>
      <c r="C135" s="1">
        <v>45482</v>
      </c>
      <c r="D135" t="s">
        <v>14</v>
      </c>
      <c r="E135" t="s">
        <v>45</v>
      </c>
      <c r="F135" t="s">
        <v>46</v>
      </c>
      <c r="G135" t="s">
        <v>20</v>
      </c>
      <c r="H135">
        <v>450</v>
      </c>
      <c r="I135">
        <v>180</v>
      </c>
      <c r="J135">
        <v>81000</v>
      </c>
      <c r="K135">
        <v>40500</v>
      </c>
      <c r="L135" s="2">
        <v>0.5</v>
      </c>
      <c r="M135" t="s">
        <v>27</v>
      </c>
    </row>
    <row r="136" spans="1:13" x14ac:dyDescent="0.25">
      <c r="A136" t="s">
        <v>44</v>
      </c>
      <c r="B136">
        <v>2025008</v>
      </c>
      <c r="C136" s="1">
        <v>45483</v>
      </c>
      <c r="D136" t="s">
        <v>14</v>
      </c>
      <c r="E136" t="s">
        <v>45</v>
      </c>
      <c r="F136" t="s">
        <v>46</v>
      </c>
      <c r="G136" t="s">
        <v>21</v>
      </c>
      <c r="H136">
        <v>480</v>
      </c>
      <c r="I136">
        <v>160</v>
      </c>
      <c r="J136">
        <v>76800</v>
      </c>
      <c r="K136">
        <v>46080</v>
      </c>
      <c r="L136" s="2">
        <v>0.6</v>
      </c>
      <c r="M136" t="s">
        <v>27</v>
      </c>
    </row>
    <row r="137" spans="1:13" x14ac:dyDescent="0.25">
      <c r="A137" t="s">
        <v>44</v>
      </c>
      <c r="B137">
        <v>2025008</v>
      </c>
      <c r="C137" s="1">
        <v>45484</v>
      </c>
      <c r="D137" t="s">
        <v>14</v>
      </c>
      <c r="E137" t="s">
        <v>45</v>
      </c>
      <c r="F137" t="s">
        <v>46</v>
      </c>
      <c r="G137" t="s">
        <v>22</v>
      </c>
      <c r="H137">
        <v>550</v>
      </c>
      <c r="I137">
        <v>140</v>
      </c>
      <c r="J137">
        <v>77000</v>
      </c>
      <c r="K137">
        <v>37730</v>
      </c>
      <c r="L137" s="2">
        <v>0.49</v>
      </c>
      <c r="M137" t="s">
        <v>27</v>
      </c>
    </row>
    <row r="138" spans="1:13" x14ac:dyDescent="0.25">
      <c r="A138" t="s">
        <v>44</v>
      </c>
      <c r="B138">
        <v>2025008</v>
      </c>
      <c r="C138" s="1">
        <v>45485</v>
      </c>
      <c r="D138" t="s">
        <v>14</v>
      </c>
      <c r="E138" t="s">
        <v>45</v>
      </c>
      <c r="F138" t="s">
        <v>46</v>
      </c>
      <c r="G138" t="s">
        <v>23</v>
      </c>
      <c r="H138">
        <v>520</v>
      </c>
      <c r="I138">
        <v>150</v>
      </c>
      <c r="J138">
        <v>78000</v>
      </c>
      <c r="K138">
        <v>54600</v>
      </c>
      <c r="L138" s="2">
        <v>0.7</v>
      </c>
      <c r="M138" t="s">
        <v>27</v>
      </c>
    </row>
    <row r="139" spans="1:13" x14ac:dyDescent="0.25">
      <c r="A139" t="s">
        <v>47</v>
      </c>
      <c r="B139">
        <v>2025009</v>
      </c>
      <c r="C139" s="1">
        <v>45518</v>
      </c>
      <c r="D139" t="s">
        <v>14</v>
      </c>
      <c r="E139" t="s">
        <v>48</v>
      </c>
      <c r="F139" t="s">
        <v>49</v>
      </c>
      <c r="G139" t="s">
        <v>17</v>
      </c>
      <c r="H139">
        <v>640</v>
      </c>
      <c r="I139">
        <v>110</v>
      </c>
      <c r="J139">
        <v>70400</v>
      </c>
      <c r="K139">
        <v>35904</v>
      </c>
      <c r="L139" s="2">
        <v>0.51</v>
      </c>
      <c r="M139" t="s">
        <v>31</v>
      </c>
    </row>
    <row r="140" spans="1:13" x14ac:dyDescent="0.25">
      <c r="A140" t="s">
        <v>47</v>
      </c>
      <c r="B140">
        <v>2025009</v>
      </c>
      <c r="C140" s="1">
        <v>45519</v>
      </c>
      <c r="D140" t="s">
        <v>14</v>
      </c>
      <c r="E140" t="s">
        <v>48</v>
      </c>
      <c r="F140" t="s">
        <v>49</v>
      </c>
      <c r="G140" t="s">
        <v>19</v>
      </c>
      <c r="H140">
        <v>610</v>
      </c>
      <c r="I140">
        <v>100</v>
      </c>
      <c r="J140">
        <v>61000</v>
      </c>
      <c r="K140">
        <v>29280</v>
      </c>
      <c r="L140" s="2">
        <v>0.48</v>
      </c>
      <c r="M140" t="s">
        <v>31</v>
      </c>
    </row>
    <row r="141" spans="1:13" x14ac:dyDescent="0.25">
      <c r="A141" t="s">
        <v>47</v>
      </c>
      <c r="B141">
        <v>2025009</v>
      </c>
      <c r="C141" s="1">
        <v>45520</v>
      </c>
      <c r="D141" t="s">
        <v>14</v>
      </c>
      <c r="E141" t="s">
        <v>48</v>
      </c>
      <c r="F141" t="s">
        <v>49</v>
      </c>
      <c r="G141" t="s">
        <v>20</v>
      </c>
      <c r="H141">
        <v>520</v>
      </c>
      <c r="I141">
        <v>95</v>
      </c>
      <c r="J141">
        <v>49400</v>
      </c>
      <c r="K141">
        <v>27170</v>
      </c>
      <c r="L141" s="2">
        <v>0.55000000000000004</v>
      </c>
      <c r="M141" t="s">
        <v>31</v>
      </c>
    </row>
    <row r="142" spans="1:13" x14ac:dyDescent="0.25">
      <c r="A142" t="s">
        <v>47</v>
      </c>
      <c r="B142">
        <v>2025009</v>
      </c>
      <c r="C142" s="1">
        <v>45521</v>
      </c>
      <c r="D142" t="s">
        <v>14</v>
      </c>
      <c r="E142" t="s">
        <v>48</v>
      </c>
      <c r="F142" t="s">
        <v>49</v>
      </c>
      <c r="G142" t="s">
        <v>21</v>
      </c>
      <c r="H142">
        <v>550</v>
      </c>
      <c r="I142">
        <v>85</v>
      </c>
      <c r="J142">
        <v>46750</v>
      </c>
      <c r="K142">
        <v>31790</v>
      </c>
      <c r="L142" s="2">
        <v>0.68</v>
      </c>
      <c r="M142" t="s">
        <v>31</v>
      </c>
    </row>
    <row r="143" spans="1:13" x14ac:dyDescent="0.25">
      <c r="A143" t="s">
        <v>50</v>
      </c>
      <c r="B143">
        <v>2025010</v>
      </c>
      <c r="C143" s="1">
        <v>45538</v>
      </c>
      <c r="D143" t="s">
        <v>14</v>
      </c>
      <c r="E143" t="s">
        <v>15</v>
      </c>
      <c r="F143" t="s">
        <v>51</v>
      </c>
      <c r="G143" t="s">
        <v>17</v>
      </c>
      <c r="H143">
        <v>710</v>
      </c>
      <c r="I143">
        <v>320</v>
      </c>
      <c r="J143">
        <v>227200</v>
      </c>
      <c r="K143">
        <v>113600</v>
      </c>
      <c r="L143" s="2">
        <v>0.5</v>
      </c>
      <c r="M143" t="s">
        <v>18</v>
      </c>
    </row>
    <row r="144" spans="1:13" x14ac:dyDescent="0.25">
      <c r="A144" t="s">
        <v>50</v>
      </c>
      <c r="B144">
        <v>2025010</v>
      </c>
      <c r="C144" s="1">
        <v>45539</v>
      </c>
      <c r="D144" t="s">
        <v>14</v>
      </c>
      <c r="E144" t="s">
        <v>15</v>
      </c>
      <c r="F144" t="s">
        <v>51</v>
      </c>
      <c r="G144" t="s">
        <v>19</v>
      </c>
      <c r="H144">
        <v>680</v>
      </c>
      <c r="I144">
        <v>290</v>
      </c>
      <c r="J144">
        <v>197200</v>
      </c>
      <c r="K144">
        <v>59160</v>
      </c>
      <c r="L144" s="2">
        <v>0.3</v>
      </c>
      <c r="M144" t="s">
        <v>18</v>
      </c>
    </row>
    <row r="145" spans="1:13" x14ac:dyDescent="0.25">
      <c r="A145" t="s">
        <v>50</v>
      </c>
      <c r="B145">
        <v>2025010</v>
      </c>
      <c r="C145" s="1">
        <v>45540</v>
      </c>
      <c r="D145" t="s">
        <v>14</v>
      </c>
      <c r="E145" t="s">
        <v>15</v>
      </c>
      <c r="F145" t="s">
        <v>51</v>
      </c>
      <c r="G145" t="s">
        <v>20</v>
      </c>
      <c r="H145">
        <v>620</v>
      </c>
      <c r="I145">
        <v>310</v>
      </c>
      <c r="J145">
        <v>192200</v>
      </c>
      <c r="K145">
        <v>67270</v>
      </c>
      <c r="L145" s="2">
        <v>0.35</v>
      </c>
      <c r="M145" t="s">
        <v>18</v>
      </c>
    </row>
    <row r="146" spans="1:13" x14ac:dyDescent="0.25">
      <c r="A146" t="s">
        <v>50</v>
      </c>
      <c r="B146">
        <v>2025010</v>
      </c>
      <c r="C146" s="1">
        <v>45541</v>
      </c>
      <c r="D146" t="s">
        <v>14</v>
      </c>
      <c r="E146" t="s">
        <v>15</v>
      </c>
      <c r="F146" t="s">
        <v>51</v>
      </c>
      <c r="G146" t="s">
        <v>21</v>
      </c>
      <c r="H146">
        <v>640</v>
      </c>
      <c r="I146">
        <v>280</v>
      </c>
      <c r="J146">
        <v>179200</v>
      </c>
      <c r="K146">
        <v>62720</v>
      </c>
      <c r="L146" s="2">
        <v>0.35</v>
      </c>
      <c r="M146" t="s">
        <v>18</v>
      </c>
    </row>
    <row r="147" spans="1:13" x14ac:dyDescent="0.25">
      <c r="A147" t="s">
        <v>13</v>
      </c>
      <c r="B147">
        <v>2025001</v>
      </c>
      <c r="C147" s="1">
        <v>45576</v>
      </c>
      <c r="D147" t="s">
        <v>14</v>
      </c>
      <c r="E147" t="s">
        <v>25</v>
      </c>
      <c r="F147" t="s">
        <v>26</v>
      </c>
      <c r="G147" t="s">
        <v>17</v>
      </c>
      <c r="H147">
        <v>1180</v>
      </c>
      <c r="I147">
        <v>470</v>
      </c>
      <c r="J147">
        <v>554600</v>
      </c>
      <c r="K147">
        <v>277300</v>
      </c>
      <c r="L147" s="2">
        <v>0.5</v>
      </c>
      <c r="M147" t="s">
        <v>18</v>
      </c>
    </row>
    <row r="148" spans="1:13" x14ac:dyDescent="0.25">
      <c r="A148" t="s">
        <v>13</v>
      </c>
      <c r="B148">
        <v>2025001</v>
      </c>
      <c r="C148" s="1">
        <v>45577</v>
      </c>
      <c r="D148" t="s">
        <v>14</v>
      </c>
      <c r="E148" t="s">
        <v>25</v>
      </c>
      <c r="F148" t="s">
        <v>26</v>
      </c>
      <c r="G148" t="s">
        <v>19</v>
      </c>
      <c r="H148">
        <v>1120</v>
      </c>
      <c r="I148">
        <v>450</v>
      </c>
      <c r="J148">
        <v>504000</v>
      </c>
      <c r="K148">
        <v>151200</v>
      </c>
      <c r="L148" s="2">
        <v>0.3</v>
      </c>
      <c r="M148" t="s">
        <v>18</v>
      </c>
    </row>
    <row r="149" spans="1:13" x14ac:dyDescent="0.25">
      <c r="A149" t="s">
        <v>13</v>
      </c>
      <c r="B149">
        <v>2025001</v>
      </c>
      <c r="C149" s="1">
        <v>45578</v>
      </c>
      <c r="D149" t="s">
        <v>14</v>
      </c>
      <c r="E149" t="s">
        <v>25</v>
      </c>
      <c r="F149" t="s">
        <v>26</v>
      </c>
      <c r="G149" t="s">
        <v>20</v>
      </c>
      <c r="H149">
        <v>980</v>
      </c>
      <c r="I149">
        <v>490</v>
      </c>
      <c r="J149">
        <v>480200</v>
      </c>
      <c r="K149">
        <v>168070</v>
      </c>
      <c r="L149" s="2">
        <v>0.35</v>
      </c>
      <c r="M149" t="s">
        <v>18</v>
      </c>
    </row>
    <row r="150" spans="1:13" x14ac:dyDescent="0.25">
      <c r="A150" t="s">
        <v>13</v>
      </c>
      <c r="B150">
        <v>2025001</v>
      </c>
      <c r="C150" s="1">
        <v>45579</v>
      </c>
      <c r="D150" t="s">
        <v>14</v>
      </c>
      <c r="E150" t="s">
        <v>25</v>
      </c>
      <c r="F150" t="s">
        <v>26</v>
      </c>
      <c r="G150" t="s">
        <v>21</v>
      </c>
      <c r="H150">
        <v>1050</v>
      </c>
      <c r="I150">
        <v>460</v>
      </c>
      <c r="J150">
        <v>483000</v>
      </c>
      <c r="K150">
        <v>169050</v>
      </c>
      <c r="L150" s="2">
        <v>0.35</v>
      </c>
      <c r="M150" t="s">
        <v>18</v>
      </c>
    </row>
    <row r="151" spans="1:13" x14ac:dyDescent="0.25">
      <c r="A151" t="s">
        <v>24</v>
      </c>
      <c r="B151">
        <v>2025002</v>
      </c>
      <c r="C151" s="1">
        <v>45597</v>
      </c>
      <c r="D151" t="s">
        <v>14</v>
      </c>
      <c r="E151" t="s">
        <v>29</v>
      </c>
      <c r="F151" t="s">
        <v>30</v>
      </c>
      <c r="G151" t="s">
        <v>22</v>
      </c>
      <c r="H151">
        <v>850</v>
      </c>
      <c r="I151">
        <v>250</v>
      </c>
      <c r="J151">
        <v>212500</v>
      </c>
      <c r="K151">
        <v>95625</v>
      </c>
      <c r="L151" s="2">
        <v>0.45</v>
      </c>
      <c r="M151" t="s">
        <v>27</v>
      </c>
    </row>
    <row r="152" spans="1:13" x14ac:dyDescent="0.25">
      <c r="A152" t="s">
        <v>24</v>
      </c>
      <c r="B152">
        <v>2025002</v>
      </c>
      <c r="C152" s="1">
        <v>45598</v>
      </c>
      <c r="D152" t="s">
        <v>14</v>
      </c>
      <c r="E152" t="s">
        <v>29</v>
      </c>
      <c r="F152" t="s">
        <v>30</v>
      </c>
      <c r="G152" t="s">
        <v>23</v>
      </c>
      <c r="H152">
        <v>820</v>
      </c>
      <c r="I152">
        <v>290</v>
      </c>
      <c r="J152">
        <v>237800</v>
      </c>
      <c r="K152">
        <v>166460</v>
      </c>
      <c r="L152" s="2">
        <v>0.7</v>
      </c>
      <c r="M152" t="s">
        <v>27</v>
      </c>
    </row>
    <row r="153" spans="1:13" x14ac:dyDescent="0.25">
      <c r="A153" t="s">
        <v>28</v>
      </c>
      <c r="B153">
        <v>2025003</v>
      </c>
      <c r="C153" s="1">
        <v>45471</v>
      </c>
      <c r="D153" t="s">
        <v>14</v>
      </c>
      <c r="E153" t="s">
        <v>33</v>
      </c>
      <c r="F153" t="s">
        <v>52</v>
      </c>
      <c r="G153" t="s">
        <v>17</v>
      </c>
      <c r="H153">
        <v>1320</v>
      </c>
      <c r="I153">
        <v>180</v>
      </c>
      <c r="J153">
        <v>237600</v>
      </c>
      <c r="K153">
        <v>118800</v>
      </c>
      <c r="L153" s="2">
        <v>0.5</v>
      </c>
      <c r="M153" t="s">
        <v>31</v>
      </c>
    </row>
    <row r="154" spans="1:13" x14ac:dyDescent="0.25">
      <c r="A154" t="s">
        <v>28</v>
      </c>
      <c r="B154">
        <v>2025003</v>
      </c>
      <c r="C154" s="1">
        <v>45472</v>
      </c>
      <c r="D154" t="s">
        <v>14</v>
      </c>
      <c r="E154" t="s">
        <v>33</v>
      </c>
      <c r="F154" t="s">
        <v>52</v>
      </c>
      <c r="G154" t="s">
        <v>21</v>
      </c>
      <c r="H154">
        <v>1220</v>
      </c>
      <c r="I154">
        <v>160</v>
      </c>
      <c r="J154">
        <v>195200</v>
      </c>
      <c r="K154">
        <v>97600</v>
      </c>
      <c r="L154" s="2">
        <v>0.5</v>
      </c>
      <c r="M154" t="s">
        <v>31</v>
      </c>
    </row>
    <row r="155" spans="1:13" x14ac:dyDescent="0.25">
      <c r="A155" t="s">
        <v>32</v>
      </c>
      <c r="B155">
        <v>2025004</v>
      </c>
      <c r="C155" s="1">
        <v>45495</v>
      </c>
      <c r="D155" t="s">
        <v>14</v>
      </c>
      <c r="E155" t="s">
        <v>36</v>
      </c>
      <c r="F155" t="s">
        <v>53</v>
      </c>
      <c r="G155" t="s">
        <v>20</v>
      </c>
      <c r="H155">
        <v>360</v>
      </c>
      <c r="I155">
        <v>110</v>
      </c>
      <c r="J155">
        <v>39600</v>
      </c>
      <c r="K155">
        <v>21780</v>
      </c>
      <c r="L155" s="2">
        <v>0.55000000000000004</v>
      </c>
      <c r="M155" t="s">
        <v>27</v>
      </c>
    </row>
    <row r="156" spans="1:13" x14ac:dyDescent="0.25">
      <c r="A156" t="s">
        <v>38</v>
      </c>
      <c r="B156">
        <v>2025006</v>
      </c>
      <c r="C156" s="1">
        <v>45516</v>
      </c>
      <c r="D156" t="s">
        <v>14</v>
      </c>
      <c r="E156" t="s">
        <v>39</v>
      </c>
      <c r="F156" t="s">
        <v>54</v>
      </c>
      <c r="G156" t="s">
        <v>19</v>
      </c>
      <c r="H156">
        <v>1020</v>
      </c>
      <c r="I156">
        <v>130</v>
      </c>
      <c r="J156">
        <v>132600</v>
      </c>
      <c r="K156">
        <v>66300</v>
      </c>
      <c r="L156" s="2">
        <v>0.5</v>
      </c>
      <c r="M156" t="s">
        <v>31</v>
      </c>
    </row>
    <row r="157" spans="1:13" x14ac:dyDescent="0.25">
      <c r="A157" t="s">
        <v>41</v>
      </c>
      <c r="B157">
        <v>2025007</v>
      </c>
      <c r="C157" s="1">
        <v>45540</v>
      </c>
      <c r="D157" t="s">
        <v>14</v>
      </c>
      <c r="E157" t="s">
        <v>42</v>
      </c>
      <c r="F157" t="s">
        <v>55</v>
      </c>
      <c r="G157" t="s">
        <v>23</v>
      </c>
      <c r="H157">
        <v>590</v>
      </c>
      <c r="I157">
        <v>90</v>
      </c>
      <c r="J157">
        <v>53100</v>
      </c>
      <c r="K157">
        <v>15930</v>
      </c>
      <c r="L157" s="2">
        <v>0.3</v>
      </c>
      <c r="M157" t="s">
        <v>18</v>
      </c>
    </row>
    <row r="158" spans="1:13" x14ac:dyDescent="0.25">
      <c r="A158" t="s">
        <v>44</v>
      </c>
      <c r="B158">
        <v>2025008</v>
      </c>
      <c r="C158" s="1">
        <v>45583</v>
      </c>
      <c r="D158" t="s">
        <v>14</v>
      </c>
      <c r="E158" t="s">
        <v>45</v>
      </c>
      <c r="F158" t="s">
        <v>56</v>
      </c>
      <c r="G158" t="s">
        <v>17</v>
      </c>
      <c r="H158">
        <v>420</v>
      </c>
      <c r="I158">
        <v>120</v>
      </c>
      <c r="J158">
        <v>50400</v>
      </c>
      <c r="K158">
        <v>20160</v>
      </c>
      <c r="L158" s="2">
        <v>0.4</v>
      </c>
      <c r="M158" t="s">
        <v>27</v>
      </c>
    </row>
    <row r="159" spans="1:13" x14ac:dyDescent="0.25">
      <c r="A159" t="s">
        <v>47</v>
      </c>
      <c r="B159">
        <v>2025009</v>
      </c>
      <c r="C159" s="1">
        <v>45604</v>
      </c>
      <c r="D159" t="s">
        <v>14</v>
      </c>
      <c r="E159" t="s">
        <v>48</v>
      </c>
      <c r="F159" t="s">
        <v>57</v>
      </c>
      <c r="G159" t="s">
        <v>21</v>
      </c>
      <c r="H159">
        <v>510</v>
      </c>
      <c r="I159">
        <v>80</v>
      </c>
      <c r="J159">
        <v>40800</v>
      </c>
      <c r="K159">
        <v>28560</v>
      </c>
      <c r="L159" s="2">
        <v>0.7</v>
      </c>
      <c r="M159" t="s">
        <v>31</v>
      </c>
    </row>
    <row r="160" spans="1:13" x14ac:dyDescent="0.25">
      <c r="A160" t="s">
        <v>50</v>
      </c>
      <c r="B160">
        <v>2025010</v>
      </c>
      <c r="C160" s="1">
        <v>45570</v>
      </c>
      <c r="D160" t="s">
        <v>14</v>
      </c>
      <c r="E160" t="s">
        <v>15</v>
      </c>
      <c r="F160" t="s">
        <v>58</v>
      </c>
      <c r="G160" t="s">
        <v>22</v>
      </c>
      <c r="H160">
        <v>570</v>
      </c>
      <c r="I160">
        <v>200</v>
      </c>
      <c r="J160">
        <v>114000</v>
      </c>
      <c r="K160">
        <v>34200</v>
      </c>
      <c r="L160" s="2">
        <v>0.3</v>
      </c>
      <c r="M160" t="s">
        <v>18</v>
      </c>
    </row>
    <row r="161" spans="1:13" x14ac:dyDescent="0.25">
      <c r="A161" t="s">
        <v>13</v>
      </c>
      <c r="B161">
        <v>2025001</v>
      </c>
      <c r="C161" s="1">
        <v>45526</v>
      </c>
      <c r="D161" t="s">
        <v>14</v>
      </c>
      <c r="E161" t="s">
        <v>33</v>
      </c>
      <c r="F161" t="s">
        <v>59</v>
      </c>
      <c r="G161" t="s">
        <v>20</v>
      </c>
      <c r="H161">
        <v>640</v>
      </c>
      <c r="I161">
        <v>190</v>
      </c>
      <c r="J161">
        <v>121600</v>
      </c>
      <c r="K161">
        <v>42560</v>
      </c>
      <c r="L161" s="2">
        <v>0.35</v>
      </c>
      <c r="M161" t="s">
        <v>18</v>
      </c>
    </row>
    <row r="162" spans="1:13" x14ac:dyDescent="0.25">
      <c r="A162" t="s">
        <v>13</v>
      </c>
      <c r="B162">
        <v>2025001</v>
      </c>
      <c r="C162" s="1">
        <v>45527</v>
      </c>
      <c r="D162" t="s">
        <v>14</v>
      </c>
      <c r="E162" t="s">
        <v>33</v>
      </c>
      <c r="F162" t="s">
        <v>59</v>
      </c>
      <c r="G162" t="s">
        <v>21</v>
      </c>
      <c r="H162">
        <v>670</v>
      </c>
      <c r="I162">
        <v>180</v>
      </c>
      <c r="J162">
        <v>120600</v>
      </c>
      <c r="K162">
        <v>60300</v>
      </c>
      <c r="L162" s="2">
        <v>0.5</v>
      </c>
      <c r="M162" t="s">
        <v>18</v>
      </c>
    </row>
    <row r="163" spans="1:13" x14ac:dyDescent="0.25">
      <c r="A163" t="s">
        <v>24</v>
      </c>
      <c r="B163">
        <v>2025002</v>
      </c>
      <c r="C163" s="1">
        <v>45552</v>
      </c>
      <c r="D163" t="s">
        <v>14</v>
      </c>
      <c r="E163" t="s">
        <v>36</v>
      </c>
      <c r="F163" t="s">
        <v>37</v>
      </c>
      <c r="G163" t="s">
        <v>17</v>
      </c>
      <c r="H163">
        <v>550</v>
      </c>
      <c r="I163">
        <v>290</v>
      </c>
      <c r="J163">
        <v>159500</v>
      </c>
      <c r="K163">
        <v>79750</v>
      </c>
      <c r="L163" s="2">
        <v>0.5</v>
      </c>
      <c r="M163" t="s">
        <v>27</v>
      </c>
    </row>
    <row r="164" spans="1:13" x14ac:dyDescent="0.25">
      <c r="A164" t="s">
        <v>24</v>
      </c>
      <c r="B164">
        <v>2025002</v>
      </c>
      <c r="C164" s="1">
        <v>45553</v>
      </c>
      <c r="D164" t="s">
        <v>14</v>
      </c>
      <c r="E164" t="s">
        <v>36</v>
      </c>
      <c r="F164" t="s">
        <v>37</v>
      </c>
      <c r="G164" t="s">
        <v>19</v>
      </c>
      <c r="H164">
        <v>510</v>
      </c>
      <c r="I164">
        <v>270</v>
      </c>
      <c r="J164">
        <v>137700</v>
      </c>
      <c r="K164">
        <v>62055</v>
      </c>
      <c r="L164" s="2">
        <v>0.45</v>
      </c>
      <c r="M164" t="s">
        <v>27</v>
      </c>
    </row>
    <row r="165" spans="1:13" x14ac:dyDescent="0.25">
      <c r="A165" t="s">
        <v>28</v>
      </c>
      <c r="B165">
        <v>2025003</v>
      </c>
      <c r="C165" s="1">
        <v>45570</v>
      </c>
      <c r="D165" t="s">
        <v>14</v>
      </c>
      <c r="E165" t="s">
        <v>39</v>
      </c>
      <c r="F165" t="s">
        <v>60</v>
      </c>
      <c r="G165" t="s">
        <v>20</v>
      </c>
      <c r="H165">
        <v>1120</v>
      </c>
      <c r="I165">
        <v>170</v>
      </c>
      <c r="J165">
        <v>190400</v>
      </c>
      <c r="K165">
        <v>95200</v>
      </c>
      <c r="L165" s="2">
        <v>0.5</v>
      </c>
      <c r="M165" t="s">
        <v>31</v>
      </c>
    </row>
    <row r="166" spans="1:13" x14ac:dyDescent="0.25">
      <c r="A166" t="s">
        <v>28</v>
      </c>
      <c r="B166">
        <v>2025003</v>
      </c>
      <c r="C166" s="1">
        <v>45571</v>
      </c>
      <c r="D166" t="s">
        <v>14</v>
      </c>
      <c r="E166" t="s">
        <v>39</v>
      </c>
      <c r="F166" t="s">
        <v>60</v>
      </c>
      <c r="G166" t="s">
        <v>21</v>
      </c>
      <c r="H166">
        <v>1160</v>
      </c>
      <c r="I166">
        <v>160</v>
      </c>
      <c r="J166">
        <v>185600</v>
      </c>
      <c r="K166">
        <v>92800</v>
      </c>
      <c r="L166" s="2">
        <v>0.5</v>
      </c>
      <c r="M166" t="s">
        <v>31</v>
      </c>
    </row>
    <row r="167" spans="1:13" x14ac:dyDescent="0.25">
      <c r="A167" t="s">
        <v>32</v>
      </c>
      <c r="B167">
        <v>2025004</v>
      </c>
      <c r="C167" s="1">
        <v>45606</v>
      </c>
      <c r="D167" t="s">
        <v>14</v>
      </c>
      <c r="E167" t="s">
        <v>42</v>
      </c>
      <c r="F167" t="s">
        <v>61</v>
      </c>
      <c r="G167" t="s">
        <v>22</v>
      </c>
      <c r="H167">
        <v>450</v>
      </c>
      <c r="I167">
        <v>140</v>
      </c>
      <c r="J167">
        <v>63000</v>
      </c>
      <c r="K167">
        <v>34650</v>
      </c>
      <c r="L167" s="2">
        <v>0.55000000000000004</v>
      </c>
      <c r="M167" t="s">
        <v>27</v>
      </c>
    </row>
    <row r="168" spans="1:13" x14ac:dyDescent="0.25">
      <c r="A168" t="s">
        <v>32</v>
      </c>
      <c r="B168">
        <v>2025004</v>
      </c>
      <c r="C168" s="1">
        <v>45607</v>
      </c>
      <c r="D168" t="s">
        <v>14</v>
      </c>
      <c r="E168" t="s">
        <v>42</v>
      </c>
      <c r="F168" t="s">
        <v>61</v>
      </c>
      <c r="G168" t="s">
        <v>23</v>
      </c>
      <c r="H168">
        <v>480</v>
      </c>
      <c r="I168">
        <v>130</v>
      </c>
      <c r="J168">
        <v>62400</v>
      </c>
      <c r="K168">
        <v>46800</v>
      </c>
      <c r="L168" s="2">
        <v>0.75</v>
      </c>
      <c r="M168" t="s">
        <v>27</v>
      </c>
    </row>
    <row r="169" spans="1:13" x14ac:dyDescent="0.25">
      <c r="A169" t="s">
        <v>35</v>
      </c>
      <c r="B169">
        <v>2025005</v>
      </c>
      <c r="C169" s="1">
        <v>45555</v>
      </c>
      <c r="D169" t="s">
        <v>14</v>
      </c>
      <c r="E169" t="s">
        <v>45</v>
      </c>
      <c r="F169" t="s">
        <v>62</v>
      </c>
      <c r="G169" t="s">
        <v>17</v>
      </c>
      <c r="H169">
        <v>780</v>
      </c>
      <c r="I169">
        <v>120</v>
      </c>
      <c r="J169">
        <v>93600</v>
      </c>
      <c r="K169">
        <v>42120</v>
      </c>
      <c r="L169" s="2">
        <v>0.45</v>
      </c>
      <c r="M169" t="s">
        <v>18</v>
      </c>
    </row>
    <row r="170" spans="1:13" x14ac:dyDescent="0.25">
      <c r="A170" t="s">
        <v>35</v>
      </c>
      <c r="B170">
        <v>2025005</v>
      </c>
      <c r="C170" s="1">
        <v>45556</v>
      </c>
      <c r="D170" t="s">
        <v>14</v>
      </c>
      <c r="E170" t="s">
        <v>45</v>
      </c>
      <c r="F170" t="s">
        <v>62</v>
      </c>
      <c r="G170" t="s">
        <v>19</v>
      </c>
      <c r="H170">
        <v>820</v>
      </c>
      <c r="I170">
        <v>110</v>
      </c>
      <c r="J170">
        <v>90200</v>
      </c>
      <c r="K170">
        <v>38786</v>
      </c>
      <c r="L170" s="2">
        <v>0.43</v>
      </c>
      <c r="M170" t="s">
        <v>18</v>
      </c>
    </row>
    <row r="171" spans="1:13" x14ac:dyDescent="0.25">
      <c r="A171" t="s">
        <v>38</v>
      </c>
      <c r="B171">
        <v>2025006</v>
      </c>
      <c r="C171" s="1">
        <v>45593</v>
      </c>
      <c r="D171" t="s">
        <v>14</v>
      </c>
      <c r="E171" t="s">
        <v>48</v>
      </c>
      <c r="F171" t="s">
        <v>63</v>
      </c>
      <c r="G171" t="s">
        <v>20</v>
      </c>
      <c r="H171">
        <v>920</v>
      </c>
      <c r="I171">
        <v>85</v>
      </c>
      <c r="J171">
        <v>78200</v>
      </c>
      <c r="K171">
        <v>39100</v>
      </c>
      <c r="L171" s="2">
        <v>0.5</v>
      </c>
      <c r="M171" t="s">
        <v>31</v>
      </c>
    </row>
    <row r="172" spans="1:13" x14ac:dyDescent="0.25">
      <c r="A172" t="s">
        <v>38</v>
      </c>
      <c r="B172">
        <v>2025006</v>
      </c>
      <c r="C172" s="1">
        <v>45594</v>
      </c>
      <c r="D172" t="s">
        <v>14</v>
      </c>
      <c r="E172" t="s">
        <v>48</v>
      </c>
      <c r="F172" t="s">
        <v>63</v>
      </c>
      <c r="G172" t="s">
        <v>21</v>
      </c>
      <c r="H172">
        <v>960</v>
      </c>
      <c r="I172">
        <v>80</v>
      </c>
      <c r="J172">
        <v>76800</v>
      </c>
      <c r="K172">
        <v>49920</v>
      </c>
      <c r="L172" s="2">
        <v>0.65</v>
      </c>
      <c r="M172" t="s">
        <v>31</v>
      </c>
    </row>
    <row r="173" spans="1:13" x14ac:dyDescent="0.25">
      <c r="A173" t="s">
        <v>41</v>
      </c>
      <c r="B173">
        <v>2025007</v>
      </c>
      <c r="C173" s="1">
        <v>45337</v>
      </c>
      <c r="D173" t="s">
        <v>14</v>
      </c>
      <c r="E173" t="s">
        <v>15</v>
      </c>
      <c r="F173" t="s">
        <v>64</v>
      </c>
      <c r="G173" t="s">
        <v>17</v>
      </c>
      <c r="H173">
        <v>650</v>
      </c>
      <c r="I173">
        <v>210</v>
      </c>
      <c r="J173">
        <v>136500</v>
      </c>
      <c r="K173">
        <v>54600</v>
      </c>
      <c r="L173" s="2">
        <v>0.4</v>
      </c>
      <c r="M173" t="s">
        <v>18</v>
      </c>
    </row>
    <row r="174" spans="1:13" x14ac:dyDescent="0.25">
      <c r="A174" t="s">
        <v>41</v>
      </c>
      <c r="B174">
        <v>2025007</v>
      </c>
      <c r="C174" s="1">
        <v>45338</v>
      </c>
      <c r="D174" t="s">
        <v>14</v>
      </c>
      <c r="E174" t="s">
        <v>15</v>
      </c>
      <c r="F174" t="s">
        <v>64</v>
      </c>
      <c r="G174" t="s">
        <v>19</v>
      </c>
      <c r="H174">
        <v>690</v>
      </c>
      <c r="I174">
        <v>190</v>
      </c>
      <c r="J174">
        <v>131100</v>
      </c>
      <c r="K174">
        <v>39330</v>
      </c>
      <c r="L174" s="2">
        <v>0.3</v>
      </c>
      <c r="M174" t="s">
        <v>18</v>
      </c>
    </row>
    <row r="175" spans="1:13" x14ac:dyDescent="0.25">
      <c r="A175" t="s">
        <v>44</v>
      </c>
      <c r="B175">
        <v>2025008</v>
      </c>
      <c r="C175" s="1">
        <v>45373</v>
      </c>
      <c r="D175" t="s">
        <v>14</v>
      </c>
      <c r="E175" t="s">
        <v>25</v>
      </c>
      <c r="F175" t="s">
        <v>65</v>
      </c>
      <c r="G175" t="s">
        <v>20</v>
      </c>
      <c r="H175">
        <v>340</v>
      </c>
      <c r="I175">
        <v>170</v>
      </c>
      <c r="J175">
        <v>57800</v>
      </c>
      <c r="K175">
        <v>23120</v>
      </c>
      <c r="L175" s="2">
        <v>0.4</v>
      </c>
      <c r="M175" t="s">
        <v>27</v>
      </c>
    </row>
    <row r="176" spans="1:13" x14ac:dyDescent="0.25">
      <c r="A176" t="s">
        <v>44</v>
      </c>
      <c r="B176">
        <v>2025008</v>
      </c>
      <c r="C176" s="1">
        <v>45374</v>
      </c>
      <c r="D176" t="s">
        <v>14</v>
      </c>
      <c r="E176" t="s">
        <v>25</v>
      </c>
      <c r="F176" t="s">
        <v>65</v>
      </c>
      <c r="G176" t="s">
        <v>21</v>
      </c>
      <c r="H176">
        <v>360</v>
      </c>
      <c r="I176">
        <v>160</v>
      </c>
      <c r="J176">
        <v>57600</v>
      </c>
      <c r="K176">
        <v>34032</v>
      </c>
      <c r="L176" s="2">
        <v>0.59</v>
      </c>
      <c r="M176" t="s">
        <v>27</v>
      </c>
    </row>
    <row r="177" spans="1:13" x14ac:dyDescent="0.25">
      <c r="A177" t="s">
        <v>47</v>
      </c>
      <c r="B177">
        <v>2025009</v>
      </c>
      <c r="C177" s="1">
        <v>45410</v>
      </c>
      <c r="D177" t="s">
        <v>14</v>
      </c>
      <c r="E177" t="s">
        <v>29</v>
      </c>
      <c r="F177" t="s">
        <v>66</v>
      </c>
      <c r="G177" t="s">
        <v>22</v>
      </c>
      <c r="H177">
        <v>580</v>
      </c>
      <c r="I177">
        <v>180</v>
      </c>
      <c r="J177">
        <v>104400</v>
      </c>
      <c r="K177">
        <v>20880</v>
      </c>
      <c r="L177" s="2">
        <v>0.2</v>
      </c>
      <c r="M177" t="s">
        <v>31</v>
      </c>
    </row>
    <row r="178" spans="1:13" x14ac:dyDescent="0.25">
      <c r="A178" t="s">
        <v>47</v>
      </c>
      <c r="B178">
        <v>2025009</v>
      </c>
      <c r="C178" s="1">
        <v>45411</v>
      </c>
      <c r="D178" t="s">
        <v>14</v>
      </c>
      <c r="E178" t="s">
        <v>29</v>
      </c>
      <c r="F178" t="s">
        <v>66</v>
      </c>
      <c r="G178" t="s">
        <v>23</v>
      </c>
      <c r="H178">
        <v>620</v>
      </c>
      <c r="I178">
        <v>200</v>
      </c>
      <c r="J178">
        <v>124000</v>
      </c>
      <c r="K178">
        <v>12400</v>
      </c>
      <c r="L178" s="2">
        <v>0.1</v>
      </c>
      <c r="M178" t="s">
        <v>31</v>
      </c>
    </row>
    <row r="179" spans="1:13" x14ac:dyDescent="0.25">
      <c r="A179" t="s">
        <v>50</v>
      </c>
      <c r="B179">
        <v>2025010</v>
      </c>
      <c r="C179" s="1">
        <v>45428</v>
      </c>
      <c r="D179" t="s">
        <v>14</v>
      </c>
      <c r="E179" t="s">
        <v>33</v>
      </c>
      <c r="F179" t="s">
        <v>67</v>
      </c>
      <c r="G179" t="s">
        <v>17</v>
      </c>
      <c r="H179">
        <v>510</v>
      </c>
      <c r="I179">
        <v>150</v>
      </c>
      <c r="J179">
        <v>76500</v>
      </c>
      <c r="K179">
        <v>30600</v>
      </c>
      <c r="L179" s="2">
        <v>0.4</v>
      </c>
      <c r="M179" t="s">
        <v>18</v>
      </c>
    </row>
    <row r="180" spans="1:13" x14ac:dyDescent="0.25">
      <c r="A180" t="s">
        <v>50</v>
      </c>
      <c r="B180">
        <v>2025010</v>
      </c>
      <c r="C180" s="1">
        <v>45429</v>
      </c>
      <c r="D180" t="s">
        <v>14</v>
      </c>
      <c r="E180" t="s">
        <v>33</v>
      </c>
      <c r="F180" t="s">
        <v>67</v>
      </c>
      <c r="G180" t="s">
        <v>19</v>
      </c>
      <c r="H180">
        <v>540</v>
      </c>
      <c r="I180">
        <v>140</v>
      </c>
      <c r="J180">
        <v>75600</v>
      </c>
      <c r="K180">
        <v>25727</v>
      </c>
      <c r="L180" s="2">
        <v>0.34</v>
      </c>
      <c r="M180" t="s">
        <v>18</v>
      </c>
    </row>
    <row r="181" spans="1:13" x14ac:dyDescent="0.25">
      <c r="A181" t="s">
        <v>13</v>
      </c>
      <c r="B181">
        <v>2025001</v>
      </c>
      <c r="C181" s="1">
        <v>45468</v>
      </c>
      <c r="D181" t="s">
        <v>14</v>
      </c>
      <c r="E181" t="s">
        <v>36</v>
      </c>
      <c r="F181" t="s">
        <v>68</v>
      </c>
      <c r="G181" t="s">
        <v>20</v>
      </c>
      <c r="H181">
        <v>620</v>
      </c>
      <c r="I181">
        <v>160</v>
      </c>
      <c r="J181">
        <v>99200</v>
      </c>
      <c r="K181">
        <v>34720</v>
      </c>
      <c r="L181" s="2">
        <v>0.35</v>
      </c>
      <c r="M181" t="s">
        <v>18</v>
      </c>
    </row>
    <row r="182" spans="1:13" x14ac:dyDescent="0.25">
      <c r="A182" t="s">
        <v>13</v>
      </c>
      <c r="B182">
        <v>2025001</v>
      </c>
      <c r="C182" s="1">
        <v>45469</v>
      </c>
      <c r="D182" t="s">
        <v>14</v>
      </c>
      <c r="E182" t="s">
        <v>36</v>
      </c>
      <c r="F182" t="s">
        <v>68</v>
      </c>
      <c r="G182" t="s">
        <v>21</v>
      </c>
      <c r="H182">
        <v>650</v>
      </c>
      <c r="I182">
        <v>150</v>
      </c>
      <c r="J182">
        <v>97500</v>
      </c>
      <c r="K182">
        <v>48750</v>
      </c>
      <c r="L182" s="2">
        <v>0.5</v>
      </c>
      <c r="M182" t="s">
        <v>18</v>
      </c>
    </row>
    <row r="183" spans="1:13" x14ac:dyDescent="0.25">
      <c r="A183" t="s">
        <v>24</v>
      </c>
      <c r="B183">
        <v>2025002</v>
      </c>
      <c r="C183" s="1">
        <v>45503</v>
      </c>
      <c r="D183" t="s">
        <v>14</v>
      </c>
      <c r="E183" t="s">
        <v>39</v>
      </c>
      <c r="F183" t="s">
        <v>69</v>
      </c>
      <c r="G183" t="s">
        <v>22</v>
      </c>
      <c r="H183">
        <v>470</v>
      </c>
      <c r="I183">
        <v>130</v>
      </c>
      <c r="J183">
        <v>61100</v>
      </c>
      <c r="K183">
        <v>27495</v>
      </c>
      <c r="L183" s="2">
        <v>0.45</v>
      </c>
      <c r="M183" t="s">
        <v>27</v>
      </c>
    </row>
    <row r="184" spans="1:13" x14ac:dyDescent="0.25">
      <c r="A184" t="s">
        <v>24</v>
      </c>
      <c r="B184">
        <v>2025002</v>
      </c>
      <c r="C184" s="1">
        <v>45504</v>
      </c>
      <c r="D184" t="s">
        <v>14</v>
      </c>
      <c r="E184" t="s">
        <v>39</v>
      </c>
      <c r="F184" t="s">
        <v>69</v>
      </c>
      <c r="G184" t="s">
        <v>23</v>
      </c>
      <c r="H184">
        <v>500</v>
      </c>
      <c r="I184">
        <v>120</v>
      </c>
      <c r="J184">
        <v>60000</v>
      </c>
      <c r="K184">
        <v>42000</v>
      </c>
      <c r="L184" s="2">
        <v>0.7</v>
      </c>
      <c r="M184" t="s">
        <v>27</v>
      </c>
    </row>
    <row r="185" spans="1:13" x14ac:dyDescent="0.25">
      <c r="A185" t="s">
        <v>28</v>
      </c>
      <c r="B185">
        <v>2025003</v>
      </c>
      <c r="C185" s="1">
        <v>45532</v>
      </c>
      <c r="D185" t="s">
        <v>14</v>
      </c>
      <c r="E185" t="s">
        <v>42</v>
      </c>
      <c r="F185" t="s">
        <v>70</v>
      </c>
      <c r="G185" t="s">
        <v>20</v>
      </c>
      <c r="H185">
        <v>1080</v>
      </c>
      <c r="I185">
        <v>100</v>
      </c>
      <c r="J185">
        <v>108000</v>
      </c>
      <c r="K185">
        <v>48600</v>
      </c>
      <c r="L185" s="2">
        <v>0.45</v>
      </c>
      <c r="M185" t="s">
        <v>31</v>
      </c>
    </row>
    <row r="186" spans="1:13" x14ac:dyDescent="0.25">
      <c r="A186" t="s">
        <v>28</v>
      </c>
      <c r="B186">
        <v>2025003</v>
      </c>
      <c r="C186" s="1">
        <v>45533</v>
      </c>
      <c r="D186" t="s">
        <v>14</v>
      </c>
      <c r="E186" t="s">
        <v>42</v>
      </c>
      <c r="F186" t="s">
        <v>70</v>
      </c>
      <c r="G186" t="s">
        <v>21</v>
      </c>
      <c r="H186">
        <v>1120</v>
      </c>
      <c r="I186">
        <v>95</v>
      </c>
      <c r="J186">
        <v>106400</v>
      </c>
      <c r="K186">
        <v>54264</v>
      </c>
      <c r="L186" s="2">
        <v>0.51</v>
      </c>
      <c r="M186" t="s">
        <v>31</v>
      </c>
    </row>
    <row r="187" spans="1:13" x14ac:dyDescent="0.25">
      <c r="A187" t="s">
        <v>32</v>
      </c>
      <c r="B187">
        <v>2025004</v>
      </c>
      <c r="C187" s="1">
        <v>45557</v>
      </c>
      <c r="D187" t="s">
        <v>14</v>
      </c>
      <c r="E187" t="s">
        <v>45</v>
      </c>
      <c r="F187" t="s">
        <v>71</v>
      </c>
      <c r="G187" t="s">
        <v>17</v>
      </c>
      <c r="H187">
        <v>390</v>
      </c>
      <c r="I187">
        <v>110</v>
      </c>
      <c r="J187">
        <v>42900</v>
      </c>
      <c r="K187">
        <v>21450</v>
      </c>
      <c r="L187" s="2">
        <v>0.5</v>
      </c>
      <c r="M187" t="s">
        <v>27</v>
      </c>
    </row>
    <row r="188" spans="1:13" x14ac:dyDescent="0.25">
      <c r="A188" t="s">
        <v>32</v>
      </c>
      <c r="B188">
        <v>2025004</v>
      </c>
      <c r="C188" s="1">
        <v>45558</v>
      </c>
      <c r="D188" t="s">
        <v>14</v>
      </c>
      <c r="E188" t="s">
        <v>45</v>
      </c>
      <c r="F188" t="s">
        <v>71</v>
      </c>
      <c r="G188" t="s">
        <v>19</v>
      </c>
      <c r="H188">
        <v>420</v>
      </c>
      <c r="I188">
        <v>100</v>
      </c>
      <c r="J188">
        <v>42000</v>
      </c>
      <c r="K188">
        <v>16800</v>
      </c>
      <c r="L188" s="2">
        <v>0.4</v>
      </c>
      <c r="M188" t="s">
        <v>27</v>
      </c>
    </row>
    <row r="189" spans="1:13" x14ac:dyDescent="0.25">
      <c r="A189" t="s">
        <v>35</v>
      </c>
      <c r="B189">
        <v>2025005</v>
      </c>
      <c r="C189" s="1">
        <v>45587</v>
      </c>
      <c r="D189" t="s">
        <v>14</v>
      </c>
      <c r="E189" t="s">
        <v>48</v>
      </c>
      <c r="F189" t="s">
        <v>72</v>
      </c>
      <c r="G189" t="s">
        <v>20</v>
      </c>
      <c r="H189">
        <v>480</v>
      </c>
      <c r="I189">
        <v>85</v>
      </c>
      <c r="J189">
        <v>40800</v>
      </c>
      <c r="K189">
        <v>13872</v>
      </c>
      <c r="L189" s="2">
        <v>0.34</v>
      </c>
      <c r="M189" t="s">
        <v>18</v>
      </c>
    </row>
    <row r="190" spans="1:13" x14ac:dyDescent="0.25">
      <c r="A190" t="s">
        <v>35</v>
      </c>
      <c r="B190">
        <v>2025005</v>
      </c>
      <c r="C190" s="1">
        <v>45588</v>
      </c>
      <c r="D190" t="s">
        <v>14</v>
      </c>
      <c r="E190" t="s">
        <v>48</v>
      </c>
      <c r="F190" t="s">
        <v>72</v>
      </c>
      <c r="G190" t="s">
        <v>21</v>
      </c>
      <c r="H190">
        <v>510</v>
      </c>
      <c r="I190">
        <v>80</v>
      </c>
      <c r="J190">
        <v>40800</v>
      </c>
      <c r="K190">
        <v>22032</v>
      </c>
      <c r="L190" s="2">
        <v>0.54</v>
      </c>
      <c r="M190" t="s">
        <v>18</v>
      </c>
    </row>
    <row r="191" spans="1:13" x14ac:dyDescent="0.25">
      <c r="A191" t="s">
        <v>38</v>
      </c>
      <c r="B191">
        <v>2025006</v>
      </c>
      <c r="C191" s="1">
        <v>45608</v>
      </c>
      <c r="D191" t="s">
        <v>14</v>
      </c>
      <c r="E191" t="s">
        <v>15</v>
      </c>
      <c r="F191" t="s">
        <v>73</v>
      </c>
      <c r="G191" t="s">
        <v>22</v>
      </c>
      <c r="H191">
        <v>980</v>
      </c>
      <c r="I191">
        <v>230</v>
      </c>
      <c r="J191">
        <v>225400</v>
      </c>
      <c r="K191">
        <v>135240</v>
      </c>
      <c r="L191" s="2">
        <v>0.6</v>
      </c>
      <c r="M191" t="s">
        <v>31</v>
      </c>
    </row>
    <row r="192" spans="1:13" x14ac:dyDescent="0.25">
      <c r="A192" t="s">
        <v>38</v>
      </c>
      <c r="B192">
        <v>2025006</v>
      </c>
      <c r="C192" s="1">
        <v>45609</v>
      </c>
      <c r="D192" t="s">
        <v>14</v>
      </c>
      <c r="E192" t="s">
        <v>15</v>
      </c>
      <c r="F192" t="s">
        <v>73</v>
      </c>
      <c r="G192" t="s">
        <v>23</v>
      </c>
      <c r="H192">
        <v>1020</v>
      </c>
      <c r="I192">
        <v>250</v>
      </c>
      <c r="J192">
        <v>255000</v>
      </c>
      <c r="K192">
        <v>178500</v>
      </c>
      <c r="L192" s="2">
        <v>0.7</v>
      </c>
      <c r="M192" t="s">
        <v>31</v>
      </c>
    </row>
    <row r="193" spans="1:13" x14ac:dyDescent="0.25">
      <c r="A193" t="s">
        <v>41</v>
      </c>
      <c r="B193">
        <v>2025007</v>
      </c>
      <c r="C193" s="1">
        <v>45567</v>
      </c>
      <c r="D193" t="s">
        <v>14</v>
      </c>
      <c r="E193" t="s">
        <v>25</v>
      </c>
      <c r="F193" t="s">
        <v>74</v>
      </c>
      <c r="G193" t="s">
        <v>17</v>
      </c>
      <c r="H193">
        <v>710</v>
      </c>
      <c r="I193">
        <v>170</v>
      </c>
      <c r="J193">
        <v>120700</v>
      </c>
      <c r="K193">
        <v>48280</v>
      </c>
      <c r="L193" s="2">
        <v>0.4</v>
      </c>
      <c r="M193" t="s">
        <v>18</v>
      </c>
    </row>
    <row r="194" spans="1:13" x14ac:dyDescent="0.25">
      <c r="A194" t="s">
        <v>41</v>
      </c>
      <c r="B194">
        <v>2025007</v>
      </c>
      <c r="C194" s="1">
        <v>45568</v>
      </c>
      <c r="D194" t="s">
        <v>14</v>
      </c>
      <c r="E194" t="s">
        <v>25</v>
      </c>
      <c r="F194" t="s">
        <v>74</v>
      </c>
      <c r="G194" t="s">
        <v>19</v>
      </c>
      <c r="H194">
        <v>750</v>
      </c>
      <c r="I194">
        <v>160</v>
      </c>
      <c r="J194">
        <v>120000</v>
      </c>
      <c r="K194">
        <v>36000</v>
      </c>
      <c r="L194" s="2">
        <v>0.3</v>
      </c>
      <c r="M194" t="s">
        <v>18</v>
      </c>
    </row>
    <row r="195" spans="1:13" x14ac:dyDescent="0.25">
      <c r="A195" t="s">
        <v>44</v>
      </c>
      <c r="B195">
        <v>2025008</v>
      </c>
      <c r="C195" s="1">
        <v>45606</v>
      </c>
      <c r="D195" t="s">
        <v>14</v>
      </c>
      <c r="E195" t="s">
        <v>29</v>
      </c>
      <c r="F195" t="s">
        <v>75</v>
      </c>
      <c r="G195" t="s">
        <v>20</v>
      </c>
      <c r="H195">
        <v>320</v>
      </c>
      <c r="I195">
        <v>95</v>
      </c>
      <c r="J195">
        <v>30400</v>
      </c>
      <c r="K195">
        <v>16720</v>
      </c>
      <c r="L195" s="2">
        <v>0.55000000000000004</v>
      </c>
      <c r="M195" t="s">
        <v>27</v>
      </c>
    </row>
    <row r="196" spans="1:13" x14ac:dyDescent="0.25">
      <c r="A196" t="s">
        <v>44</v>
      </c>
      <c r="B196">
        <v>2025008</v>
      </c>
      <c r="C196" s="1">
        <v>45607</v>
      </c>
      <c r="D196" t="s">
        <v>14</v>
      </c>
      <c r="E196" t="s">
        <v>29</v>
      </c>
      <c r="F196" t="s">
        <v>75</v>
      </c>
      <c r="G196" t="s">
        <v>21</v>
      </c>
      <c r="H196">
        <v>340</v>
      </c>
      <c r="I196">
        <v>90</v>
      </c>
      <c r="J196">
        <v>30600</v>
      </c>
      <c r="K196">
        <v>18360</v>
      </c>
      <c r="L196" s="2">
        <v>0.6</v>
      </c>
      <c r="M196" t="s">
        <v>27</v>
      </c>
    </row>
    <row r="197" spans="1:13" x14ac:dyDescent="0.25">
      <c r="A197" t="s">
        <v>47</v>
      </c>
      <c r="B197">
        <v>2025009</v>
      </c>
      <c r="C197" s="1">
        <v>45553</v>
      </c>
      <c r="D197" t="s">
        <v>14</v>
      </c>
      <c r="E197" t="s">
        <v>36</v>
      </c>
      <c r="F197" t="s">
        <v>76</v>
      </c>
      <c r="G197" t="s">
        <v>22</v>
      </c>
      <c r="H197">
        <v>520</v>
      </c>
      <c r="I197">
        <v>120</v>
      </c>
      <c r="J197">
        <v>62400</v>
      </c>
      <c r="K197">
        <v>12480</v>
      </c>
      <c r="L197" s="2">
        <v>0.2</v>
      </c>
      <c r="M197" t="s">
        <v>31</v>
      </c>
    </row>
    <row r="198" spans="1:13" x14ac:dyDescent="0.25">
      <c r="A198" t="s">
        <v>47</v>
      </c>
      <c r="B198">
        <v>2025009</v>
      </c>
      <c r="C198" s="1">
        <v>45554</v>
      </c>
      <c r="D198" t="s">
        <v>14</v>
      </c>
      <c r="E198" t="s">
        <v>36</v>
      </c>
      <c r="F198" t="s">
        <v>76</v>
      </c>
      <c r="G198" t="s">
        <v>23</v>
      </c>
      <c r="H198">
        <v>540</v>
      </c>
      <c r="I198">
        <v>130</v>
      </c>
      <c r="J198">
        <v>70200</v>
      </c>
      <c r="K198">
        <v>5616</v>
      </c>
      <c r="L198" s="2">
        <v>0.08</v>
      </c>
      <c r="M198" t="s">
        <v>31</v>
      </c>
    </row>
    <row r="199" spans="1:13" x14ac:dyDescent="0.25">
      <c r="A199" t="s">
        <v>50</v>
      </c>
      <c r="B199">
        <v>2025010</v>
      </c>
      <c r="C199" s="1">
        <v>45595</v>
      </c>
      <c r="D199" t="s">
        <v>14</v>
      </c>
      <c r="E199" t="s">
        <v>39</v>
      </c>
      <c r="F199" t="s">
        <v>77</v>
      </c>
      <c r="G199" t="s">
        <v>20</v>
      </c>
      <c r="H199">
        <v>440</v>
      </c>
      <c r="I199">
        <v>95</v>
      </c>
      <c r="J199">
        <v>41800</v>
      </c>
      <c r="K199">
        <v>16720</v>
      </c>
      <c r="L199" s="2">
        <v>0.4</v>
      </c>
      <c r="M199" t="s">
        <v>18</v>
      </c>
    </row>
    <row r="200" spans="1:13" x14ac:dyDescent="0.25">
      <c r="A200" t="s">
        <v>50</v>
      </c>
      <c r="B200">
        <v>2025010</v>
      </c>
      <c r="C200" s="1">
        <v>45596</v>
      </c>
      <c r="D200" t="s">
        <v>14</v>
      </c>
      <c r="E200" t="s">
        <v>39</v>
      </c>
      <c r="F200" t="s">
        <v>77</v>
      </c>
      <c r="G200" t="s">
        <v>21</v>
      </c>
      <c r="H200">
        <v>460</v>
      </c>
      <c r="I200">
        <v>90</v>
      </c>
      <c r="J200">
        <v>41400</v>
      </c>
      <c r="K200">
        <v>20700</v>
      </c>
      <c r="L200" s="2">
        <v>0.5</v>
      </c>
      <c r="M200" t="s">
        <v>18</v>
      </c>
    </row>
    <row r="201" spans="1:13" x14ac:dyDescent="0.25">
      <c r="A201" t="s">
        <v>13</v>
      </c>
      <c r="B201">
        <v>2025001</v>
      </c>
      <c r="C201" s="1">
        <v>45601</v>
      </c>
      <c r="D201" t="s">
        <v>14</v>
      </c>
      <c r="E201" t="s">
        <v>42</v>
      </c>
      <c r="F201" t="s">
        <v>78</v>
      </c>
      <c r="G201" t="s">
        <v>17</v>
      </c>
      <c r="H201">
        <v>750</v>
      </c>
      <c r="I201">
        <v>200</v>
      </c>
      <c r="J201">
        <v>150000</v>
      </c>
      <c r="K201">
        <v>75000</v>
      </c>
      <c r="L201" s="2">
        <v>0.5</v>
      </c>
      <c r="M201" t="s">
        <v>18</v>
      </c>
    </row>
    <row r="202" spans="1:13" x14ac:dyDescent="0.25">
      <c r="A202" t="s">
        <v>13</v>
      </c>
      <c r="B202">
        <v>2025001</v>
      </c>
      <c r="C202" s="1">
        <v>45602</v>
      </c>
      <c r="D202" t="s">
        <v>14</v>
      </c>
      <c r="E202" t="s">
        <v>42</v>
      </c>
      <c r="F202" t="s">
        <v>78</v>
      </c>
      <c r="G202" t="s">
        <v>19</v>
      </c>
      <c r="H202">
        <v>790</v>
      </c>
      <c r="I202">
        <v>180</v>
      </c>
      <c r="J202">
        <v>142200</v>
      </c>
      <c r="K202">
        <v>38394</v>
      </c>
      <c r="L202" s="2">
        <v>0.27</v>
      </c>
      <c r="M202" t="s">
        <v>18</v>
      </c>
    </row>
    <row r="203" spans="1:13" x14ac:dyDescent="0.25">
      <c r="A203" t="s">
        <v>24</v>
      </c>
      <c r="B203">
        <v>2025002</v>
      </c>
      <c r="C203" s="1">
        <v>45514</v>
      </c>
      <c r="D203" t="s">
        <v>14</v>
      </c>
      <c r="E203" t="s">
        <v>45</v>
      </c>
      <c r="F203" t="s">
        <v>79</v>
      </c>
      <c r="G203" t="s">
        <v>20</v>
      </c>
      <c r="H203">
        <v>440</v>
      </c>
      <c r="I203">
        <v>180</v>
      </c>
      <c r="J203">
        <v>79200</v>
      </c>
      <c r="K203">
        <v>39600</v>
      </c>
      <c r="L203" s="2">
        <v>0.5</v>
      </c>
      <c r="M203" t="s">
        <v>27</v>
      </c>
    </row>
    <row r="204" spans="1:13" x14ac:dyDescent="0.25">
      <c r="A204" t="s">
        <v>24</v>
      </c>
      <c r="B204">
        <v>2025002</v>
      </c>
      <c r="C204" s="1">
        <v>45515</v>
      </c>
      <c r="D204" t="s">
        <v>14</v>
      </c>
      <c r="E204" t="s">
        <v>45</v>
      </c>
      <c r="F204" t="s">
        <v>79</v>
      </c>
      <c r="G204" t="s">
        <v>21</v>
      </c>
      <c r="H204">
        <v>470</v>
      </c>
      <c r="I204">
        <v>170</v>
      </c>
      <c r="J204">
        <v>79900</v>
      </c>
      <c r="K204">
        <v>49538</v>
      </c>
      <c r="L204" s="2">
        <v>0.62</v>
      </c>
      <c r="M204" t="s">
        <v>27</v>
      </c>
    </row>
  </sheetData>
  <mergeCells count="1">
    <mergeCell ref="A1:M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1"/>
  <sheetViews>
    <sheetView workbookViewId="0">
      <selection activeCell="C7" sqref="C7"/>
    </sheetView>
  </sheetViews>
  <sheetFormatPr defaultRowHeight="15" x14ac:dyDescent="0.25"/>
  <cols>
    <col min="1" max="1" width="13.5703125" bestFit="1" customWidth="1"/>
    <col min="2" max="2" width="10.28515625" bestFit="1" customWidth="1"/>
    <col min="3" max="3" width="18.42578125" style="7" customWidth="1"/>
    <col min="4" max="4" width="14.85546875" bestFit="1" customWidth="1"/>
    <col min="5" max="5" width="14.140625" bestFit="1" customWidth="1"/>
    <col min="6" max="6" width="16.140625" bestFit="1" customWidth="1"/>
    <col min="7" max="7" width="26.140625" bestFit="1" customWidth="1"/>
    <col min="8" max="8" width="16.140625" bestFit="1" customWidth="1"/>
    <col min="9" max="9" width="9.85546875" bestFit="1" customWidth="1"/>
    <col min="10" max="10" width="13.5703125" bestFit="1" customWidth="1"/>
    <col min="11" max="11" width="18.5703125" bestFit="1" customWidth="1"/>
    <col min="12" max="12" width="16.5703125" bestFit="1" customWidth="1"/>
    <col min="13" max="13" width="13.140625" bestFit="1" customWidth="1"/>
  </cols>
  <sheetData>
    <row r="1" spans="1:13" x14ac:dyDescent="0.25">
      <c r="A1" t="s">
        <v>0</v>
      </c>
      <c r="B1" t="s">
        <v>1</v>
      </c>
      <c r="C1" s="7" t="s">
        <v>2</v>
      </c>
      <c r="D1" t="s">
        <v>3</v>
      </c>
      <c r="E1" t="s">
        <v>4</v>
      </c>
      <c r="F1" t="s">
        <v>5</v>
      </c>
      <c r="G1" t="s">
        <v>6</v>
      </c>
      <c r="H1" t="s">
        <v>7</v>
      </c>
      <c r="I1" t="s">
        <v>8</v>
      </c>
      <c r="J1" t="s">
        <v>9</v>
      </c>
      <c r="K1" t="s">
        <v>10</v>
      </c>
      <c r="L1" t="s">
        <v>11</v>
      </c>
      <c r="M1" t="s">
        <v>12</v>
      </c>
    </row>
    <row r="2" spans="1:13" x14ac:dyDescent="0.25">
      <c r="A2" t="s">
        <v>13</v>
      </c>
      <c r="B2">
        <v>2025001</v>
      </c>
      <c r="C2" s="7">
        <v>45306</v>
      </c>
      <c r="D2" t="s">
        <v>14</v>
      </c>
      <c r="E2" t="s">
        <v>15</v>
      </c>
      <c r="F2" t="s">
        <v>16</v>
      </c>
      <c r="G2" t="s">
        <v>17</v>
      </c>
      <c r="H2">
        <v>750</v>
      </c>
      <c r="I2">
        <v>850</v>
      </c>
      <c r="J2">
        <v>637500</v>
      </c>
      <c r="K2">
        <v>255000</v>
      </c>
      <c r="L2" s="2">
        <v>0.4</v>
      </c>
      <c r="M2" t="s">
        <v>18</v>
      </c>
    </row>
    <row r="3" spans="1:13" x14ac:dyDescent="0.25">
      <c r="A3" t="s">
        <v>13</v>
      </c>
      <c r="B3">
        <v>2025001</v>
      </c>
      <c r="C3" s="7">
        <v>45307</v>
      </c>
      <c r="D3" t="s">
        <v>14</v>
      </c>
      <c r="E3" t="s">
        <v>15</v>
      </c>
      <c r="F3" t="s">
        <v>16</v>
      </c>
      <c r="G3" t="s">
        <v>19</v>
      </c>
      <c r="H3">
        <v>800</v>
      </c>
      <c r="I3">
        <v>720</v>
      </c>
      <c r="J3">
        <v>576000</v>
      </c>
      <c r="K3">
        <v>172800</v>
      </c>
      <c r="L3" s="2">
        <v>0.3</v>
      </c>
      <c r="M3" t="s">
        <v>18</v>
      </c>
    </row>
    <row r="4" spans="1:13" x14ac:dyDescent="0.25">
      <c r="A4" t="s">
        <v>13</v>
      </c>
      <c r="B4">
        <v>2025001</v>
      </c>
      <c r="C4" s="7">
        <v>45308</v>
      </c>
      <c r="D4" t="s">
        <v>14</v>
      </c>
      <c r="E4" t="s">
        <v>15</v>
      </c>
      <c r="F4" t="s">
        <v>16</v>
      </c>
      <c r="G4" t="s">
        <v>20</v>
      </c>
      <c r="H4">
        <v>650</v>
      </c>
      <c r="I4">
        <v>820</v>
      </c>
      <c r="J4">
        <v>533000</v>
      </c>
      <c r="K4">
        <v>186550</v>
      </c>
      <c r="L4" s="2">
        <v>0.35</v>
      </c>
      <c r="M4" t="s">
        <v>18</v>
      </c>
    </row>
    <row r="5" spans="1:13" x14ac:dyDescent="0.25">
      <c r="A5" t="s">
        <v>13</v>
      </c>
      <c r="B5">
        <v>2025001</v>
      </c>
      <c r="C5" s="7">
        <v>45309</v>
      </c>
      <c r="D5" t="s">
        <v>14</v>
      </c>
      <c r="E5" t="s">
        <v>15</v>
      </c>
      <c r="F5" t="s">
        <v>16</v>
      </c>
      <c r="G5" t="s">
        <v>21</v>
      </c>
      <c r="H5">
        <v>700</v>
      </c>
      <c r="I5">
        <v>750</v>
      </c>
      <c r="J5">
        <v>525000</v>
      </c>
      <c r="K5">
        <v>183750</v>
      </c>
      <c r="L5" s="2">
        <v>0.35</v>
      </c>
      <c r="M5" t="s">
        <v>18</v>
      </c>
    </row>
    <row r="6" spans="1:13" x14ac:dyDescent="0.25">
      <c r="A6" t="s">
        <v>13</v>
      </c>
      <c r="B6">
        <v>2025001</v>
      </c>
      <c r="C6" s="7">
        <v>45310</v>
      </c>
      <c r="D6" t="s">
        <v>14</v>
      </c>
      <c r="E6" t="s">
        <v>15</v>
      </c>
      <c r="F6" t="s">
        <v>16</v>
      </c>
      <c r="G6" t="s">
        <v>22</v>
      </c>
      <c r="H6">
        <v>900</v>
      </c>
      <c r="I6">
        <v>680</v>
      </c>
      <c r="J6">
        <v>612000</v>
      </c>
      <c r="K6">
        <v>183600</v>
      </c>
      <c r="L6" s="2">
        <v>0.3</v>
      </c>
      <c r="M6" t="s">
        <v>18</v>
      </c>
    </row>
    <row r="7" spans="1:13" x14ac:dyDescent="0.25">
      <c r="A7" t="s">
        <v>13</v>
      </c>
      <c r="B7">
        <v>2025001</v>
      </c>
      <c r="C7" s="7">
        <v>45311</v>
      </c>
      <c r="D7" t="s">
        <v>14</v>
      </c>
      <c r="E7" t="s">
        <v>15</v>
      </c>
      <c r="F7" t="s">
        <v>16</v>
      </c>
      <c r="G7" t="s">
        <v>23</v>
      </c>
      <c r="H7">
        <v>950</v>
      </c>
      <c r="I7">
        <v>710</v>
      </c>
      <c r="J7">
        <v>674500</v>
      </c>
      <c r="K7">
        <v>168625</v>
      </c>
      <c r="L7" s="2">
        <v>0.25</v>
      </c>
      <c r="M7" t="s">
        <v>18</v>
      </c>
    </row>
    <row r="8" spans="1:13" x14ac:dyDescent="0.25">
      <c r="A8" t="s">
        <v>24</v>
      </c>
      <c r="B8">
        <v>2025002</v>
      </c>
      <c r="C8" s="7">
        <v>45327</v>
      </c>
      <c r="D8" t="s">
        <v>14</v>
      </c>
      <c r="E8" t="s">
        <v>25</v>
      </c>
      <c r="F8" t="s">
        <v>26</v>
      </c>
      <c r="G8" t="s">
        <v>17</v>
      </c>
      <c r="H8">
        <v>1200</v>
      </c>
      <c r="I8">
        <v>1050</v>
      </c>
      <c r="J8">
        <v>1260000</v>
      </c>
      <c r="K8">
        <v>630000</v>
      </c>
      <c r="L8" s="2">
        <v>0.5</v>
      </c>
      <c r="M8" t="s">
        <v>27</v>
      </c>
    </row>
    <row r="9" spans="1:13" x14ac:dyDescent="0.25">
      <c r="A9" t="s">
        <v>24</v>
      </c>
      <c r="B9">
        <v>2025002</v>
      </c>
      <c r="C9" s="7">
        <v>45328</v>
      </c>
      <c r="D9" t="s">
        <v>14</v>
      </c>
      <c r="E9" t="s">
        <v>25</v>
      </c>
      <c r="F9" t="s">
        <v>26</v>
      </c>
      <c r="G9" t="s">
        <v>19</v>
      </c>
      <c r="H9">
        <v>1100</v>
      </c>
      <c r="I9">
        <v>920</v>
      </c>
      <c r="J9">
        <v>1012000</v>
      </c>
      <c r="K9">
        <v>303600</v>
      </c>
      <c r="L9" s="2">
        <v>0.3</v>
      </c>
      <c r="M9" t="s">
        <v>27</v>
      </c>
    </row>
    <row r="10" spans="1:13" x14ac:dyDescent="0.25">
      <c r="A10" t="s">
        <v>24</v>
      </c>
      <c r="B10">
        <v>2025002</v>
      </c>
      <c r="C10" s="7">
        <v>45329</v>
      </c>
      <c r="D10" t="s">
        <v>14</v>
      </c>
      <c r="E10" t="s">
        <v>25</v>
      </c>
      <c r="F10" t="s">
        <v>26</v>
      </c>
      <c r="G10" t="s">
        <v>20</v>
      </c>
      <c r="H10">
        <v>980</v>
      </c>
      <c r="I10">
        <v>900</v>
      </c>
      <c r="J10">
        <v>882000</v>
      </c>
      <c r="K10">
        <v>308700</v>
      </c>
      <c r="L10" s="2">
        <v>0.35</v>
      </c>
      <c r="M10" t="s">
        <v>27</v>
      </c>
    </row>
    <row r="11" spans="1:13" x14ac:dyDescent="0.25">
      <c r="A11" t="s">
        <v>24</v>
      </c>
      <c r="B11">
        <v>2025002</v>
      </c>
      <c r="C11" s="7">
        <v>45330</v>
      </c>
      <c r="D11" t="s">
        <v>14</v>
      </c>
      <c r="E11" t="s">
        <v>25</v>
      </c>
      <c r="F11" t="s">
        <v>26</v>
      </c>
      <c r="G11" t="s">
        <v>21</v>
      </c>
      <c r="H11">
        <v>1050</v>
      </c>
      <c r="I11">
        <v>850</v>
      </c>
      <c r="J11">
        <v>892500</v>
      </c>
      <c r="K11">
        <v>312375</v>
      </c>
      <c r="L11" s="2">
        <v>0.35</v>
      </c>
      <c r="M11" t="s">
        <v>27</v>
      </c>
    </row>
    <row r="12" spans="1:13" x14ac:dyDescent="0.25">
      <c r="A12" t="s">
        <v>28</v>
      </c>
      <c r="B12">
        <v>2025003</v>
      </c>
      <c r="C12" s="7">
        <v>45363</v>
      </c>
      <c r="D12" t="s">
        <v>14</v>
      </c>
      <c r="E12" t="s">
        <v>29</v>
      </c>
      <c r="F12" t="s">
        <v>30</v>
      </c>
      <c r="G12" t="s">
        <v>17</v>
      </c>
      <c r="H12">
        <v>1350</v>
      </c>
      <c r="I12">
        <v>620</v>
      </c>
      <c r="J12">
        <v>837000</v>
      </c>
      <c r="K12">
        <v>418500</v>
      </c>
      <c r="L12" s="2">
        <v>0.5</v>
      </c>
      <c r="M12" t="s">
        <v>31</v>
      </c>
    </row>
    <row r="13" spans="1:13" x14ac:dyDescent="0.25">
      <c r="A13" t="s">
        <v>28</v>
      </c>
      <c r="B13">
        <v>2025003</v>
      </c>
      <c r="C13" s="7">
        <v>45364</v>
      </c>
      <c r="D13" t="s">
        <v>14</v>
      </c>
      <c r="E13" t="s">
        <v>29</v>
      </c>
      <c r="F13" t="s">
        <v>30</v>
      </c>
      <c r="G13" t="s">
        <v>19</v>
      </c>
      <c r="H13">
        <v>1250</v>
      </c>
      <c r="I13">
        <v>580</v>
      </c>
      <c r="J13">
        <v>725000</v>
      </c>
      <c r="K13">
        <v>217500</v>
      </c>
      <c r="L13" s="2">
        <v>0.3</v>
      </c>
      <c r="M13" t="s">
        <v>31</v>
      </c>
    </row>
    <row r="14" spans="1:13" x14ac:dyDescent="0.25">
      <c r="A14" t="s">
        <v>28</v>
      </c>
      <c r="B14">
        <v>2025003</v>
      </c>
      <c r="C14" s="7">
        <v>45365</v>
      </c>
      <c r="D14" t="s">
        <v>14</v>
      </c>
      <c r="E14" t="s">
        <v>29</v>
      </c>
      <c r="F14" t="s">
        <v>30</v>
      </c>
      <c r="G14" t="s">
        <v>20</v>
      </c>
      <c r="H14">
        <v>1100</v>
      </c>
      <c r="I14">
        <v>600</v>
      </c>
      <c r="J14">
        <v>660000</v>
      </c>
      <c r="K14">
        <v>231000</v>
      </c>
      <c r="L14" s="2">
        <v>0.35</v>
      </c>
      <c r="M14" t="s">
        <v>31</v>
      </c>
    </row>
    <row r="15" spans="1:13" x14ac:dyDescent="0.25">
      <c r="A15" t="s">
        <v>28</v>
      </c>
      <c r="B15">
        <v>2025003</v>
      </c>
      <c r="C15" s="7">
        <v>45366</v>
      </c>
      <c r="D15" t="s">
        <v>14</v>
      </c>
      <c r="E15" t="s">
        <v>29</v>
      </c>
      <c r="F15" t="s">
        <v>30</v>
      </c>
      <c r="G15" t="s">
        <v>21</v>
      </c>
      <c r="H15">
        <v>1150</v>
      </c>
      <c r="I15">
        <v>550</v>
      </c>
      <c r="J15">
        <v>632500</v>
      </c>
      <c r="K15">
        <v>221375</v>
      </c>
      <c r="L15" s="2">
        <v>0.35</v>
      </c>
      <c r="M15" t="s">
        <v>31</v>
      </c>
    </row>
    <row r="16" spans="1:13" x14ac:dyDescent="0.25">
      <c r="A16" t="s">
        <v>32</v>
      </c>
      <c r="B16">
        <v>2025004</v>
      </c>
      <c r="C16" s="7">
        <v>45404</v>
      </c>
      <c r="D16" t="s">
        <v>14</v>
      </c>
      <c r="E16" t="s">
        <v>33</v>
      </c>
      <c r="F16" t="s">
        <v>34</v>
      </c>
      <c r="G16" t="s">
        <v>17</v>
      </c>
      <c r="H16">
        <v>520</v>
      </c>
      <c r="I16">
        <v>410</v>
      </c>
      <c r="J16">
        <v>213200</v>
      </c>
      <c r="K16">
        <v>106600</v>
      </c>
      <c r="L16" s="2">
        <v>0.5</v>
      </c>
      <c r="M16" t="s">
        <v>27</v>
      </c>
    </row>
    <row r="17" spans="1:13" x14ac:dyDescent="0.25">
      <c r="A17" t="s">
        <v>32</v>
      </c>
      <c r="B17">
        <v>2025004</v>
      </c>
      <c r="C17" s="7">
        <v>45404</v>
      </c>
      <c r="D17" t="s">
        <v>14</v>
      </c>
      <c r="E17" t="s">
        <v>33</v>
      </c>
      <c r="F17" t="s">
        <v>34</v>
      </c>
      <c r="G17" t="s">
        <v>19</v>
      </c>
      <c r="H17">
        <v>480</v>
      </c>
      <c r="I17">
        <v>380</v>
      </c>
      <c r="J17">
        <v>182400</v>
      </c>
      <c r="K17">
        <v>81600</v>
      </c>
      <c r="L17" s="2">
        <v>0.45</v>
      </c>
      <c r="M17" t="s">
        <v>27</v>
      </c>
    </row>
    <row r="18" spans="1:13" x14ac:dyDescent="0.25">
      <c r="A18" t="s">
        <v>32</v>
      </c>
      <c r="B18">
        <v>2025004</v>
      </c>
      <c r="C18" s="7">
        <v>45404</v>
      </c>
      <c r="D18" t="s">
        <v>14</v>
      </c>
      <c r="E18" t="s">
        <v>33</v>
      </c>
      <c r="F18" t="s">
        <v>34</v>
      </c>
      <c r="G18" t="s">
        <v>20</v>
      </c>
      <c r="H18">
        <v>380</v>
      </c>
      <c r="I18">
        <v>350</v>
      </c>
      <c r="J18">
        <v>133000</v>
      </c>
      <c r="K18">
        <v>73150</v>
      </c>
      <c r="L18" s="2">
        <v>0.55000000000000004</v>
      </c>
      <c r="M18" t="s">
        <v>27</v>
      </c>
    </row>
    <row r="19" spans="1:13" x14ac:dyDescent="0.25">
      <c r="A19" t="s">
        <v>32</v>
      </c>
      <c r="B19">
        <v>2025004</v>
      </c>
      <c r="C19" s="7">
        <v>45404</v>
      </c>
      <c r="D19" t="s">
        <v>14</v>
      </c>
      <c r="E19" t="s">
        <v>33</v>
      </c>
      <c r="F19" t="s">
        <v>34</v>
      </c>
      <c r="G19" t="s">
        <v>21</v>
      </c>
      <c r="H19">
        <v>420</v>
      </c>
      <c r="I19">
        <v>320</v>
      </c>
      <c r="J19">
        <v>134400</v>
      </c>
      <c r="K19">
        <v>80640</v>
      </c>
      <c r="L19" s="2">
        <v>0.6</v>
      </c>
      <c r="M19" t="s">
        <v>27</v>
      </c>
    </row>
    <row r="20" spans="1:13" x14ac:dyDescent="0.25">
      <c r="A20" t="s">
        <v>35</v>
      </c>
      <c r="B20">
        <v>2025005</v>
      </c>
      <c r="C20" s="7">
        <v>45442</v>
      </c>
      <c r="D20" t="s">
        <v>14</v>
      </c>
      <c r="E20" t="s">
        <v>36</v>
      </c>
      <c r="F20" t="s">
        <v>37</v>
      </c>
      <c r="G20" t="s">
        <v>17</v>
      </c>
      <c r="H20">
        <v>950</v>
      </c>
      <c r="I20">
        <v>220</v>
      </c>
      <c r="J20">
        <v>209000</v>
      </c>
      <c r="K20">
        <v>83600</v>
      </c>
      <c r="L20" s="2">
        <v>0.4</v>
      </c>
      <c r="M20" t="s">
        <v>18</v>
      </c>
    </row>
    <row r="21" spans="1:13" x14ac:dyDescent="0.25">
      <c r="A21" t="s">
        <v>35</v>
      </c>
      <c r="B21">
        <v>2025005</v>
      </c>
      <c r="C21" s="7">
        <v>45443</v>
      </c>
      <c r="D21" t="s">
        <v>14</v>
      </c>
      <c r="E21" t="s">
        <v>36</v>
      </c>
      <c r="F21" t="s">
        <v>37</v>
      </c>
      <c r="G21" t="s">
        <v>19</v>
      </c>
      <c r="H21">
        <v>880</v>
      </c>
      <c r="I21">
        <v>180</v>
      </c>
      <c r="J21">
        <v>158400</v>
      </c>
      <c r="K21">
        <v>47520</v>
      </c>
      <c r="L21" s="2">
        <v>0.3</v>
      </c>
      <c r="M21" t="s">
        <v>18</v>
      </c>
    </row>
    <row r="22" spans="1:13" x14ac:dyDescent="0.25">
      <c r="A22" t="s">
        <v>35</v>
      </c>
      <c r="B22">
        <v>2025005</v>
      </c>
      <c r="C22" s="7">
        <v>45444</v>
      </c>
      <c r="D22" t="s">
        <v>14</v>
      </c>
      <c r="E22" t="s">
        <v>36</v>
      </c>
      <c r="F22" t="s">
        <v>37</v>
      </c>
      <c r="G22" t="s">
        <v>20</v>
      </c>
      <c r="H22">
        <v>780</v>
      </c>
      <c r="I22">
        <v>210</v>
      </c>
      <c r="J22">
        <v>163800</v>
      </c>
      <c r="K22">
        <v>57330</v>
      </c>
      <c r="L22" s="2">
        <v>0.35</v>
      </c>
      <c r="M22" t="s">
        <v>18</v>
      </c>
    </row>
    <row r="23" spans="1:13" x14ac:dyDescent="0.25">
      <c r="A23" t="s">
        <v>35</v>
      </c>
      <c r="B23">
        <v>2025005</v>
      </c>
      <c r="C23" s="7">
        <v>45445</v>
      </c>
      <c r="D23" t="s">
        <v>14</v>
      </c>
      <c r="E23" t="s">
        <v>36</v>
      </c>
      <c r="F23" t="s">
        <v>37</v>
      </c>
      <c r="G23" t="s">
        <v>21</v>
      </c>
      <c r="H23">
        <v>820</v>
      </c>
      <c r="I23">
        <v>190</v>
      </c>
      <c r="J23">
        <v>155800</v>
      </c>
      <c r="K23">
        <v>54530</v>
      </c>
      <c r="L23" s="2">
        <v>0.35</v>
      </c>
      <c r="M23" t="s">
        <v>18</v>
      </c>
    </row>
    <row r="24" spans="1:13" x14ac:dyDescent="0.25">
      <c r="A24" t="s">
        <v>38</v>
      </c>
      <c r="B24">
        <v>2025006</v>
      </c>
      <c r="C24" s="7">
        <v>45483</v>
      </c>
      <c r="D24" t="s">
        <v>14</v>
      </c>
      <c r="E24" t="s">
        <v>39</v>
      </c>
      <c r="F24" t="s">
        <v>40</v>
      </c>
      <c r="G24" t="s">
        <v>17</v>
      </c>
      <c r="H24">
        <v>1100</v>
      </c>
      <c r="I24">
        <v>310</v>
      </c>
      <c r="J24">
        <v>341000</v>
      </c>
      <c r="K24">
        <v>170500</v>
      </c>
      <c r="L24" s="2">
        <v>0.5</v>
      </c>
      <c r="M24" t="s">
        <v>31</v>
      </c>
    </row>
    <row r="25" spans="1:13" x14ac:dyDescent="0.25">
      <c r="A25" t="s">
        <v>38</v>
      </c>
      <c r="B25">
        <v>2025006</v>
      </c>
      <c r="C25" s="7">
        <v>45484</v>
      </c>
      <c r="D25" t="s">
        <v>14</v>
      </c>
      <c r="E25" t="s">
        <v>39</v>
      </c>
      <c r="F25" t="s">
        <v>40</v>
      </c>
      <c r="G25" t="s">
        <v>19</v>
      </c>
      <c r="H25">
        <v>1050</v>
      </c>
      <c r="I25">
        <v>290</v>
      </c>
      <c r="J25">
        <v>304500</v>
      </c>
      <c r="K25">
        <v>152250</v>
      </c>
      <c r="L25" s="2">
        <v>0.5</v>
      </c>
      <c r="M25" t="s">
        <v>31</v>
      </c>
    </row>
    <row r="26" spans="1:13" x14ac:dyDescent="0.25">
      <c r="A26" t="s">
        <v>38</v>
      </c>
      <c r="B26">
        <v>2025006</v>
      </c>
      <c r="C26" s="7">
        <v>45485</v>
      </c>
      <c r="D26" t="s">
        <v>14</v>
      </c>
      <c r="E26" t="s">
        <v>39</v>
      </c>
      <c r="F26" t="s">
        <v>40</v>
      </c>
      <c r="G26" t="s">
        <v>20</v>
      </c>
      <c r="H26">
        <v>980</v>
      </c>
      <c r="I26">
        <v>270</v>
      </c>
      <c r="J26">
        <v>264600</v>
      </c>
      <c r="K26">
        <v>142284</v>
      </c>
      <c r="L26" s="2">
        <v>0.54</v>
      </c>
      <c r="M26" t="s">
        <v>31</v>
      </c>
    </row>
    <row r="27" spans="1:13" x14ac:dyDescent="0.25">
      <c r="A27" t="s">
        <v>38</v>
      </c>
      <c r="B27">
        <v>2025006</v>
      </c>
      <c r="C27" s="7">
        <v>45486</v>
      </c>
      <c r="D27" t="s">
        <v>14</v>
      </c>
      <c r="E27" t="s">
        <v>39</v>
      </c>
      <c r="F27" t="s">
        <v>40</v>
      </c>
      <c r="G27" t="s">
        <v>21</v>
      </c>
      <c r="H27">
        <v>1020</v>
      </c>
      <c r="I27">
        <v>250</v>
      </c>
      <c r="J27">
        <v>255000</v>
      </c>
      <c r="K27">
        <v>153000</v>
      </c>
      <c r="L27" s="2">
        <v>0.6</v>
      </c>
      <c r="M27" t="s">
        <v>31</v>
      </c>
    </row>
    <row r="28" spans="1:13" x14ac:dyDescent="0.25">
      <c r="A28" t="s">
        <v>41</v>
      </c>
      <c r="B28">
        <v>2025007</v>
      </c>
      <c r="C28" s="7">
        <v>45509</v>
      </c>
      <c r="D28" t="s">
        <v>14</v>
      </c>
      <c r="E28" t="s">
        <v>42</v>
      </c>
      <c r="F28" t="s">
        <v>43</v>
      </c>
      <c r="G28" t="s">
        <v>22</v>
      </c>
      <c r="H28">
        <v>850</v>
      </c>
      <c r="I28">
        <v>180</v>
      </c>
      <c r="J28">
        <v>153000</v>
      </c>
      <c r="K28">
        <v>38250</v>
      </c>
      <c r="L28" s="2">
        <v>0.25</v>
      </c>
      <c r="M28" t="s">
        <v>18</v>
      </c>
    </row>
    <row r="29" spans="1:13" x14ac:dyDescent="0.25">
      <c r="A29" t="s">
        <v>41</v>
      </c>
      <c r="B29">
        <v>2025007</v>
      </c>
      <c r="C29" s="7">
        <v>45510</v>
      </c>
      <c r="D29" t="s">
        <v>14</v>
      </c>
      <c r="E29" t="s">
        <v>42</v>
      </c>
      <c r="F29" t="s">
        <v>43</v>
      </c>
      <c r="G29" t="s">
        <v>23</v>
      </c>
      <c r="H29">
        <v>880</v>
      </c>
      <c r="I29">
        <v>200</v>
      </c>
      <c r="J29">
        <v>176000</v>
      </c>
      <c r="K29">
        <v>26400</v>
      </c>
      <c r="L29" s="2">
        <v>0.15</v>
      </c>
      <c r="M29" t="s">
        <v>18</v>
      </c>
    </row>
    <row r="30" spans="1:13" x14ac:dyDescent="0.25">
      <c r="A30" t="s">
        <v>41</v>
      </c>
      <c r="B30">
        <v>2025007</v>
      </c>
      <c r="C30" s="7">
        <v>45511</v>
      </c>
      <c r="D30" t="s">
        <v>14</v>
      </c>
      <c r="E30" t="s">
        <v>42</v>
      </c>
      <c r="F30" t="s">
        <v>43</v>
      </c>
      <c r="G30" t="s">
        <v>17</v>
      </c>
      <c r="H30">
        <v>720</v>
      </c>
      <c r="I30">
        <v>220</v>
      </c>
      <c r="J30">
        <v>158400</v>
      </c>
      <c r="K30">
        <v>79200</v>
      </c>
      <c r="L30" s="2">
        <v>0.5</v>
      </c>
      <c r="M30" t="s">
        <v>18</v>
      </c>
    </row>
    <row r="31" spans="1:13" x14ac:dyDescent="0.25">
      <c r="A31" t="s">
        <v>41</v>
      </c>
      <c r="B31">
        <v>2025007</v>
      </c>
      <c r="C31" s="7">
        <v>45512</v>
      </c>
      <c r="D31" t="s">
        <v>14</v>
      </c>
      <c r="E31" t="s">
        <v>42</v>
      </c>
      <c r="F31" t="s">
        <v>43</v>
      </c>
      <c r="G31" t="s">
        <v>19</v>
      </c>
      <c r="H31">
        <v>760</v>
      </c>
      <c r="I31">
        <v>200</v>
      </c>
      <c r="J31">
        <v>152000</v>
      </c>
      <c r="K31">
        <v>60800</v>
      </c>
      <c r="L31" s="2">
        <v>0.4</v>
      </c>
      <c r="M31" t="s">
        <v>18</v>
      </c>
    </row>
    <row r="32" spans="1:13" x14ac:dyDescent="0.25">
      <c r="A32" t="s">
        <v>44</v>
      </c>
      <c r="B32">
        <v>2025008</v>
      </c>
      <c r="C32" s="7">
        <v>45553</v>
      </c>
      <c r="D32" t="s">
        <v>14</v>
      </c>
      <c r="E32" t="s">
        <v>45</v>
      </c>
      <c r="F32" t="s">
        <v>46</v>
      </c>
      <c r="G32" t="s">
        <v>20</v>
      </c>
      <c r="H32">
        <v>420</v>
      </c>
      <c r="I32">
        <v>190</v>
      </c>
      <c r="J32">
        <v>79800</v>
      </c>
      <c r="K32">
        <v>39900</v>
      </c>
      <c r="L32" s="2">
        <v>0.5</v>
      </c>
      <c r="M32" t="s">
        <v>27</v>
      </c>
    </row>
    <row r="33" spans="1:13" x14ac:dyDescent="0.25">
      <c r="A33" t="s">
        <v>44</v>
      </c>
      <c r="B33">
        <v>2025008</v>
      </c>
      <c r="C33" s="7">
        <v>45554</v>
      </c>
      <c r="D33" t="s">
        <v>14</v>
      </c>
      <c r="E33" t="s">
        <v>45</v>
      </c>
      <c r="F33" t="s">
        <v>46</v>
      </c>
      <c r="G33" t="s">
        <v>21</v>
      </c>
      <c r="H33">
        <v>450</v>
      </c>
      <c r="I33">
        <v>170</v>
      </c>
      <c r="J33">
        <v>76500</v>
      </c>
      <c r="K33">
        <v>45900</v>
      </c>
      <c r="L33" s="2">
        <v>0.6</v>
      </c>
      <c r="M33" t="s">
        <v>27</v>
      </c>
    </row>
    <row r="34" spans="1:13" x14ac:dyDescent="0.25">
      <c r="A34" t="s">
        <v>44</v>
      </c>
      <c r="B34">
        <v>2025008</v>
      </c>
      <c r="C34" s="7">
        <v>45555</v>
      </c>
      <c r="D34" t="s">
        <v>14</v>
      </c>
      <c r="E34" t="s">
        <v>45</v>
      </c>
      <c r="F34" t="s">
        <v>46</v>
      </c>
      <c r="G34" t="s">
        <v>22</v>
      </c>
      <c r="H34">
        <v>520</v>
      </c>
      <c r="I34">
        <v>150</v>
      </c>
      <c r="J34">
        <v>78000</v>
      </c>
      <c r="K34">
        <v>38220</v>
      </c>
      <c r="L34" s="2">
        <v>0.49</v>
      </c>
      <c r="M34" t="s">
        <v>27</v>
      </c>
    </row>
    <row r="35" spans="1:13" x14ac:dyDescent="0.25">
      <c r="A35" t="s">
        <v>44</v>
      </c>
      <c r="B35">
        <v>2025008</v>
      </c>
      <c r="C35" s="7">
        <v>45556</v>
      </c>
      <c r="D35" t="s">
        <v>14</v>
      </c>
      <c r="E35" t="s">
        <v>45</v>
      </c>
      <c r="F35" t="s">
        <v>46</v>
      </c>
      <c r="G35" t="s">
        <v>23</v>
      </c>
      <c r="H35">
        <v>490</v>
      </c>
      <c r="I35">
        <v>160</v>
      </c>
      <c r="J35">
        <v>78400</v>
      </c>
      <c r="K35">
        <v>54880</v>
      </c>
      <c r="L35" s="2">
        <v>0.7</v>
      </c>
      <c r="M35" t="s">
        <v>27</v>
      </c>
    </row>
    <row r="36" spans="1:13" x14ac:dyDescent="0.25">
      <c r="A36" t="s">
        <v>47</v>
      </c>
      <c r="B36">
        <v>2025009</v>
      </c>
      <c r="C36" s="7">
        <v>45567</v>
      </c>
      <c r="D36" t="s">
        <v>14</v>
      </c>
      <c r="E36" t="s">
        <v>48</v>
      </c>
      <c r="F36" t="s">
        <v>49</v>
      </c>
      <c r="G36" t="s">
        <v>17</v>
      </c>
      <c r="H36">
        <v>610</v>
      </c>
      <c r="I36">
        <v>120</v>
      </c>
      <c r="J36">
        <v>73200</v>
      </c>
      <c r="K36">
        <v>37332</v>
      </c>
      <c r="L36" s="2">
        <v>0.51</v>
      </c>
      <c r="M36" t="s">
        <v>31</v>
      </c>
    </row>
    <row r="37" spans="1:13" x14ac:dyDescent="0.25">
      <c r="A37" t="s">
        <v>47</v>
      </c>
      <c r="B37">
        <v>2025009</v>
      </c>
      <c r="C37" s="7">
        <v>45568</v>
      </c>
      <c r="D37" t="s">
        <v>14</v>
      </c>
      <c r="E37" t="s">
        <v>48</v>
      </c>
      <c r="F37" t="s">
        <v>49</v>
      </c>
      <c r="G37" t="s">
        <v>19</v>
      </c>
      <c r="H37">
        <v>580</v>
      </c>
      <c r="I37">
        <v>110</v>
      </c>
      <c r="J37">
        <v>63800</v>
      </c>
      <c r="K37">
        <v>30624</v>
      </c>
      <c r="L37" s="2">
        <v>0.48</v>
      </c>
      <c r="M37" t="s">
        <v>31</v>
      </c>
    </row>
    <row r="38" spans="1:13" x14ac:dyDescent="0.25">
      <c r="A38" t="s">
        <v>47</v>
      </c>
      <c r="B38">
        <v>2025009</v>
      </c>
      <c r="C38" s="7">
        <v>45569</v>
      </c>
      <c r="D38" t="s">
        <v>14</v>
      </c>
      <c r="E38" t="s">
        <v>48</v>
      </c>
      <c r="F38" t="s">
        <v>49</v>
      </c>
      <c r="G38" t="s">
        <v>20</v>
      </c>
      <c r="H38">
        <v>490</v>
      </c>
      <c r="I38">
        <v>100</v>
      </c>
      <c r="J38">
        <v>49000</v>
      </c>
      <c r="K38">
        <v>26950</v>
      </c>
      <c r="L38" s="2">
        <v>0.55000000000000004</v>
      </c>
      <c r="M38" t="s">
        <v>31</v>
      </c>
    </row>
    <row r="39" spans="1:13" x14ac:dyDescent="0.25">
      <c r="A39" t="s">
        <v>47</v>
      </c>
      <c r="B39">
        <v>2025009</v>
      </c>
      <c r="C39" s="7">
        <v>45570</v>
      </c>
      <c r="D39" t="s">
        <v>14</v>
      </c>
      <c r="E39" t="s">
        <v>48</v>
      </c>
      <c r="F39" t="s">
        <v>49</v>
      </c>
      <c r="G39" t="s">
        <v>21</v>
      </c>
      <c r="H39">
        <v>520</v>
      </c>
      <c r="I39">
        <v>90</v>
      </c>
      <c r="J39">
        <v>46800</v>
      </c>
      <c r="K39">
        <v>31824</v>
      </c>
      <c r="L39" s="2">
        <v>0.68</v>
      </c>
      <c r="M39" t="s">
        <v>31</v>
      </c>
    </row>
    <row r="40" spans="1:13" x14ac:dyDescent="0.25">
      <c r="A40" t="s">
        <v>50</v>
      </c>
      <c r="B40">
        <v>2025010</v>
      </c>
      <c r="C40" s="7">
        <v>45608</v>
      </c>
      <c r="D40" t="s">
        <v>14</v>
      </c>
      <c r="E40" t="s">
        <v>15</v>
      </c>
      <c r="F40" t="s">
        <v>51</v>
      </c>
      <c r="G40" t="s">
        <v>17</v>
      </c>
      <c r="H40">
        <v>680</v>
      </c>
      <c r="I40">
        <v>340</v>
      </c>
      <c r="J40">
        <v>231200</v>
      </c>
      <c r="K40">
        <v>115600</v>
      </c>
      <c r="L40" s="2">
        <v>0.5</v>
      </c>
      <c r="M40" t="s">
        <v>18</v>
      </c>
    </row>
    <row r="41" spans="1:13" x14ac:dyDescent="0.25">
      <c r="A41" t="s">
        <v>50</v>
      </c>
      <c r="B41">
        <v>2025010</v>
      </c>
      <c r="C41" s="7">
        <v>45609</v>
      </c>
      <c r="D41" t="s">
        <v>14</v>
      </c>
      <c r="E41" t="s">
        <v>15</v>
      </c>
      <c r="F41" t="s">
        <v>51</v>
      </c>
      <c r="G41" t="s">
        <v>19</v>
      </c>
      <c r="H41">
        <v>650</v>
      </c>
      <c r="I41">
        <v>300</v>
      </c>
      <c r="J41">
        <v>195000</v>
      </c>
      <c r="K41">
        <v>58500</v>
      </c>
      <c r="L41" s="2">
        <v>0.3</v>
      </c>
      <c r="M41" t="s">
        <v>18</v>
      </c>
    </row>
    <row r="42" spans="1:13" x14ac:dyDescent="0.25">
      <c r="A42" t="s">
        <v>50</v>
      </c>
      <c r="B42">
        <v>2025010</v>
      </c>
      <c r="C42" s="7">
        <v>45610</v>
      </c>
      <c r="D42" t="s">
        <v>14</v>
      </c>
      <c r="E42" t="s">
        <v>15</v>
      </c>
      <c r="F42" t="s">
        <v>51</v>
      </c>
      <c r="G42" t="s">
        <v>20</v>
      </c>
      <c r="H42">
        <v>590</v>
      </c>
      <c r="I42">
        <v>320</v>
      </c>
      <c r="J42">
        <v>188800</v>
      </c>
      <c r="K42">
        <v>66080</v>
      </c>
      <c r="L42" s="2">
        <v>0.35</v>
      </c>
      <c r="M42" t="s">
        <v>18</v>
      </c>
    </row>
    <row r="43" spans="1:13" x14ac:dyDescent="0.25">
      <c r="A43" t="s">
        <v>50</v>
      </c>
      <c r="B43">
        <v>2025010</v>
      </c>
      <c r="C43" s="7">
        <v>45611</v>
      </c>
      <c r="D43" t="s">
        <v>14</v>
      </c>
      <c r="E43" t="s">
        <v>15</v>
      </c>
      <c r="F43" t="s">
        <v>51</v>
      </c>
      <c r="G43" t="s">
        <v>21</v>
      </c>
      <c r="H43">
        <v>610</v>
      </c>
      <c r="I43">
        <v>290</v>
      </c>
      <c r="J43">
        <v>176900</v>
      </c>
      <c r="K43">
        <v>61915</v>
      </c>
      <c r="L43" s="2">
        <v>0.35</v>
      </c>
      <c r="M43" t="s">
        <v>18</v>
      </c>
    </row>
    <row r="44" spans="1:13" x14ac:dyDescent="0.25">
      <c r="A44" t="s">
        <v>13</v>
      </c>
      <c r="B44">
        <v>2025001</v>
      </c>
      <c r="C44" s="7">
        <v>45350</v>
      </c>
      <c r="D44" t="s">
        <v>14</v>
      </c>
      <c r="E44" t="s">
        <v>25</v>
      </c>
      <c r="F44" t="s">
        <v>26</v>
      </c>
      <c r="G44" t="s">
        <v>17</v>
      </c>
      <c r="H44">
        <v>1150</v>
      </c>
      <c r="I44">
        <v>500</v>
      </c>
      <c r="J44">
        <v>575000</v>
      </c>
      <c r="K44">
        <v>287500</v>
      </c>
      <c r="L44" s="2">
        <v>0.5</v>
      </c>
      <c r="M44" t="s">
        <v>18</v>
      </c>
    </row>
    <row r="45" spans="1:13" x14ac:dyDescent="0.25">
      <c r="A45" t="s">
        <v>13</v>
      </c>
      <c r="B45">
        <v>2025001</v>
      </c>
      <c r="C45" s="7">
        <v>45352</v>
      </c>
      <c r="D45" t="s">
        <v>14</v>
      </c>
      <c r="E45" t="s">
        <v>25</v>
      </c>
      <c r="F45" t="s">
        <v>26</v>
      </c>
      <c r="G45" t="s">
        <v>19</v>
      </c>
      <c r="H45">
        <v>1080</v>
      </c>
      <c r="I45">
        <v>480</v>
      </c>
      <c r="J45">
        <v>518400</v>
      </c>
      <c r="K45">
        <v>155520</v>
      </c>
      <c r="L45" s="2">
        <v>0.3</v>
      </c>
      <c r="M45" t="s">
        <v>18</v>
      </c>
    </row>
    <row r="46" spans="1:13" x14ac:dyDescent="0.25">
      <c r="A46" t="s">
        <v>13</v>
      </c>
      <c r="B46">
        <v>2025001</v>
      </c>
      <c r="C46" s="7">
        <v>45353</v>
      </c>
      <c r="D46" t="s">
        <v>14</v>
      </c>
      <c r="E46" t="s">
        <v>25</v>
      </c>
      <c r="F46" t="s">
        <v>26</v>
      </c>
      <c r="G46" t="s">
        <v>20</v>
      </c>
      <c r="H46">
        <v>950</v>
      </c>
      <c r="I46">
        <v>520</v>
      </c>
      <c r="J46">
        <v>494000</v>
      </c>
      <c r="K46">
        <v>172900</v>
      </c>
      <c r="L46" s="2">
        <v>0.35</v>
      </c>
      <c r="M46" t="s">
        <v>18</v>
      </c>
    </row>
    <row r="47" spans="1:13" x14ac:dyDescent="0.25">
      <c r="A47" t="s">
        <v>13</v>
      </c>
      <c r="B47">
        <v>2025001</v>
      </c>
      <c r="C47" s="7">
        <v>45354</v>
      </c>
      <c r="D47" t="s">
        <v>14</v>
      </c>
      <c r="E47" t="s">
        <v>25</v>
      </c>
      <c r="F47" t="s">
        <v>26</v>
      </c>
      <c r="G47" t="s">
        <v>21</v>
      </c>
      <c r="H47">
        <v>1020</v>
      </c>
      <c r="I47">
        <v>490</v>
      </c>
      <c r="J47">
        <v>499800</v>
      </c>
      <c r="K47">
        <v>174930</v>
      </c>
      <c r="L47" s="2">
        <v>0.35</v>
      </c>
      <c r="M47" t="s">
        <v>18</v>
      </c>
    </row>
    <row r="48" spans="1:13" x14ac:dyDescent="0.25">
      <c r="A48" t="s">
        <v>24</v>
      </c>
      <c r="B48">
        <v>2025002</v>
      </c>
      <c r="C48" s="7">
        <v>45392</v>
      </c>
      <c r="D48" t="s">
        <v>14</v>
      </c>
      <c r="E48" t="s">
        <v>29</v>
      </c>
      <c r="F48" t="s">
        <v>30</v>
      </c>
      <c r="G48" t="s">
        <v>22</v>
      </c>
      <c r="H48">
        <v>820</v>
      </c>
      <c r="I48">
        <v>270</v>
      </c>
      <c r="J48">
        <v>221400</v>
      </c>
      <c r="K48">
        <v>99630</v>
      </c>
      <c r="L48" s="2">
        <v>0.45</v>
      </c>
      <c r="M48" t="s">
        <v>27</v>
      </c>
    </row>
    <row r="49" spans="1:13" x14ac:dyDescent="0.25">
      <c r="A49" t="s">
        <v>24</v>
      </c>
      <c r="B49">
        <v>2025002</v>
      </c>
      <c r="C49" s="7">
        <v>45393</v>
      </c>
      <c r="D49" t="s">
        <v>14</v>
      </c>
      <c r="E49" t="s">
        <v>29</v>
      </c>
      <c r="F49" t="s">
        <v>30</v>
      </c>
      <c r="G49" t="s">
        <v>23</v>
      </c>
      <c r="H49">
        <v>790</v>
      </c>
      <c r="I49">
        <v>310</v>
      </c>
      <c r="J49">
        <v>244900</v>
      </c>
      <c r="K49">
        <v>171430</v>
      </c>
      <c r="L49" s="2">
        <v>0.7</v>
      </c>
      <c r="M49" t="s">
        <v>27</v>
      </c>
    </row>
    <row r="50" spans="1:13" x14ac:dyDescent="0.25">
      <c r="A50" t="s">
        <v>28</v>
      </c>
      <c r="B50">
        <v>2025003</v>
      </c>
      <c r="C50" s="7">
        <v>45432</v>
      </c>
      <c r="D50" t="s">
        <v>14</v>
      </c>
      <c r="E50" t="s">
        <v>33</v>
      </c>
      <c r="F50" t="s">
        <v>52</v>
      </c>
      <c r="G50" t="s">
        <v>17</v>
      </c>
      <c r="H50">
        <v>1280</v>
      </c>
      <c r="I50">
        <v>190</v>
      </c>
      <c r="J50">
        <v>243200</v>
      </c>
      <c r="K50">
        <v>121600</v>
      </c>
      <c r="L50" s="2">
        <v>0.5</v>
      </c>
      <c r="M50" t="s">
        <v>31</v>
      </c>
    </row>
    <row r="51" spans="1:13" x14ac:dyDescent="0.25">
      <c r="A51" t="s">
        <v>28</v>
      </c>
      <c r="B51">
        <v>2025003</v>
      </c>
      <c r="C51" s="7">
        <v>45433</v>
      </c>
      <c r="D51" t="s">
        <v>14</v>
      </c>
      <c r="E51" t="s">
        <v>33</v>
      </c>
      <c r="F51" t="s">
        <v>52</v>
      </c>
      <c r="G51" t="s">
        <v>21</v>
      </c>
      <c r="H51">
        <v>1180</v>
      </c>
      <c r="I51">
        <v>170</v>
      </c>
      <c r="J51">
        <v>200600</v>
      </c>
      <c r="K51">
        <v>100300</v>
      </c>
      <c r="L51" s="2">
        <v>0.5</v>
      </c>
      <c r="M51" t="s">
        <v>31</v>
      </c>
    </row>
    <row r="52" spans="1:13" x14ac:dyDescent="0.25">
      <c r="A52" t="s">
        <v>32</v>
      </c>
      <c r="B52">
        <v>2025004</v>
      </c>
      <c r="C52" s="7">
        <v>45458</v>
      </c>
      <c r="D52" t="s">
        <v>14</v>
      </c>
      <c r="E52" t="s">
        <v>36</v>
      </c>
      <c r="F52" t="s">
        <v>53</v>
      </c>
      <c r="G52" t="s">
        <v>20</v>
      </c>
      <c r="H52">
        <v>340</v>
      </c>
      <c r="I52">
        <v>120</v>
      </c>
      <c r="J52">
        <v>40800</v>
      </c>
      <c r="K52">
        <v>22440</v>
      </c>
      <c r="L52" s="2">
        <v>0.55000000000000004</v>
      </c>
      <c r="M52" t="s">
        <v>27</v>
      </c>
    </row>
    <row r="53" spans="1:13" x14ac:dyDescent="0.25">
      <c r="A53" t="s">
        <v>38</v>
      </c>
      <c r="B53">
        <v>2025006</v>
      </c>
      <c r="C53" s="7">
        <v>45498</v>
      </c>
      <c r="D53" t="s">
        <v>14</v>
      </c>
      <c r="E53" t="s">
        <v>39</v>
      </c>
      <c r="F53" t="s">
        <v>54</v>
      </c>
      <c r="G53" t="s">
        <v>19</v>
      </c>
      <c r="H53">
        <v>980</v>
      </c>
      <c r="I53">
        <v>140</v>
      </c>
      <c r="J53">
        <v>137200</v>
      </c>
      <c r="K53">
        <v>68600</v>
      </c>
      <c r="L53" s="2">
        <v>0.5</v>
      </c>
      <c r="M53" t="s">
        <v>31</v>
      </c>
    </row>
    <row r="54" spans="1:13" x14ac:dyDescent="0.25">
      <c r="A54" t="s">
        <v>41</v>
      </c>
      <c r="B54">
        <v>2025007</v>
      </c>
      <c r="C54" s="7">
        <v>45522</v>
      </c>
      <c r="D54" t="s">
        <v>14</v>
      </c>
      <c r="E54" t="s">
        <v>42</v>
      </c>
      <c r="F54" t="s">
        <v>55</v>
      </c>
      <c r="G54" t="s">
        <v>23</v>
      </c>
      <c r="H54">
        <v>560</v>
      </c>
      <c r="I54">
        <v>95</v>
      </c>
      <c r="J54">
        <v>53200</v>
      </c>
      <c r="K54">
        <v>15960</v>
      </c>
      <c r="L54" s="2">
        <v>0.3</v>
      </c>
      <c r="M54" t="s">
        <v>18</v>
      </c>
    </row>
    <row r="55" spans="1:13" x14ac:dyDescent="0.25">
      <c r="A55" t="s">
        <v>44</v>
      </c>
      <c r="B55">
        <v>2025008</v>
      </c>
      <c r="C55" s="7">
        <v>45540</v>
      </c>
      <c r="D55" t="s">
        <v>14</v>
      </c>
      <c r="E55" t="s">
        <v>45</v>
      </c>
      <c r="F55" t="s">
        <v>56</v>
      </c>
      <c r="G55" t="s">
        <v>17</v>
      </c>
      <c r="H55">
        <v>390</v>
      </c>
      <c r="I55">
        <v>130</v>
      </c>
      <c r="J55">
        <v>50700</v>
      </c>
      <c r="K55">
        <v>20280</v>
      </c>
      <c r="L55" s="2">
        <v>0.4</v>
      </c>
      <c r="M55" t="s">
        <v>27</v>
      </c>
    </row>
    <row r="56" spans="1:13" x14ac:dyDescent="0.25">
      <c r="A56" t="s">
        <v>47</v>
      </c>
      <c r="B56">
        <v>2025009</v>
      </c>
      <c r="C56" s="7">
        <v>45587</v>
      </c>
      <c r="D56" t="s">
        <v>14</v>
      </c>
      <c r="E56" t="s">
        <v>48</v>
      </c>
      <c r="F56" t="s">
        <v>57</v>
      </c>
      <c r="G56" t="s">
        <v>21</v>
      </c>
      <c r="H56">
        <v>480</v>
      </c>
      <c r="I56">
        <v>85</v>
      </c>
      <c r="J56">
        <v>40800</v>
      </c>
      <c r="K56">
        <v>28560</v>
      </c>
      <c r="L56" s="2">
        <v>0.7</v>
      </c>
      <c r="M56" t="s">
        <v>31</v>
      </c>
    </row>
    <row r="57" spans="1:13" x14ac:dyDescent="0.25">
      <c r="A57" t="s">
        <v>50</v>
      </c>
      <c r="B57">
        <v>2025010</v>
      </c>
      <c r="C57" s="7">
        <v>45624</v>
      </c>
      <c r="D57" t="s">
        <v>14</v>
      </c>
      <c r="E57" t="s">
        <v>15</v>
      </c>
      <c r="F57" t="s">
        <v>58</v>
      </c>
      <c r="G57" t="s">
        <v>22</v>
      </c>
      <c r="H57">
        <v>540</v>
      </c>
      <c r="I57">
        <v>210</v>
      </c>
      <c r="J57">
        <v>113400</v>
      </c>
      <c r="K57">
        <v>34020</v>
      </c>
      <c r="L57" s="2">
        <v>0.3</v>
      </c>
      <c r="M57" t="s">
        <v>18</v>
      </c>
    </row>
    <row r="58" spans="1:13" x14ac:dyDescent="0.25">
      <c r="A58" t="s">
        <v>13</v>
      </c>
      <c r="B58">
        <v>2025001</v>
      </c>
      <c r="C58" s="7">
        <v>45453</v>
      </c>
      <c r="D58" t="s">
        <v>14</v>
      </c>
      <c r="E58" t="s">
        <v>33</v>
      </c>
      <c r="F58" t="s">
        <v>59</v>
      </c>
      <c r="G58" t="s">
        <v>20</v>
      </c>
      <c r="H58">
        <v>610</v>
      </c>
      <c r="I58">
        <v>200</v>
      </c>
      <c r="J58">
        <v>122000</v>
      </c>
      <c r="K58">
        <v>42700</v>
      </c>
      <c r="L58" s="2">
        <v>0.35</v>
      </c>
      <c r="M58" t="s">
        <v>18</v>
      </c>
    </row>
    <row r="59" spans="1:13" x14ac:dyDescent="0.25">
      <c r="A59" t="s">
        <v>13</v>
      </c>
      <c r="B59">
        <v>2025001</v>
      </c>
      <c r="C59" s="7">
        <v>45454</v>
      </c>
      <c r="D59" t="s">
        <v>14</v>
      </c>
      <c r="E59" t="s">
        <v>33</v>
      </c>
      <c r="F59" t="s">
        <v>59</v>
      </c>
      <c r="G59" t="s">
        <v>21</v>
      </c>
      <c r="H59">
        <v>640</v>
      </c>
      <c r="I59">
        <v>190</v>
      </c>
      <c r="J59">
        <v>121600</v>
      </c>
      <c r="K59">
        <v>60800</v>
      </c>
      <c r="L59" s="2">
        <v>0.5</v>
      </c>
      <c r="M59" t="s">
        <v>18</v>
      </c>
    </row>
    <row r="60" spans="1:13" x14ac:dyDescent="0.25">
      <c r="A60" t="s">
        <v>24</v>
      </c>
      <c r="B60">
        <v>2025002</v>
      </c>
      <c r="C60" s="7">
        <v>45487</v>
      </c>
      <c r="D60" t="s">
        <v>14</v>
      </c>
      <c r="E60" t="s">
        <v>36</v>
      </c>
      <c r="F60" t="s">
        <v>37</v>
      </c>
      <c r="G60" t="s">
        <v>17</v>
      </c>
      <c r="H60">
        <v>520</v>
      </c>
      <c r="I60">
        <v>310</v>
      </c>
      <c r="J60">
        <v>161200</v>
      </c>
      <c r="K60">
        <v>80600</v>
      </c>
      <c r="L60" s="2">
        <v>0.5</v>
      </c>
      <c r="M60" t="s">
        <v>27</v>
      </c>
    </row>
    <row r="61" spans="1:13" x14ac:dyDescent="0.25">
      <c r="A61" t="s">
        <v>24</v>
      </c>
      <c r="B61">
        <v>2025002</v>
      </c>
      <c r="C61" s="7">
        <v>45488</v>
      </c>
      <c r="D61" t="s">
        <v>14</v>
      </c>
      <c r="E61" t="s">
        <v>36</v>
      </c>
      <c r="F61" t="s">
        <v>37</v>
      </c>
      <c r="G61" t="s">
        <v>19</v>
      </c>
      <c r="H61">
        <v>480</v>
      </c>
      <c r="I61">
        <v>290</v>
      </c>
      <c r="J61">
        <v>139200</v>
      </c>
      <c r="K61">
        <v>62640</v>
      </c>
      <c r="L61" s="2">
        <v>0.45</v>
      </c>
      <c r="M61" t="s">
        <v>27</v>
      </c>
    </row>
    <row r="62" spans="1:13" x14ac:dyDescent="0.25">
      <c r="A62" t="s">
        <v>28</v>
      </c>
      <c r="B62">
        <v>2025003</v>
      </c>
      <c r="C62" s="7">
        <v>45526</v>
      </c>
      <c r="D62" t="s">
        <v>14</v>
      </c>
      <c r="E62" t="s">
        <v>39</v>
      </c>
      <c r="F62" t="s">
        <v>60</v>
      </c>
      <c r="G62" t="s">
        <v>20</v>
      </c>
      <c r="H62">
        <v>1080</v>
      </c>
      <c r="I62">
        <v>180</v>
      </c>
      <c r="J62">
        <v>194400</v>
      </c>
      <c r="K62">
        <v>97200</v>
      </c>
      <c r="L62" s="2">
        <v>0.5</v>
      </c>
      <c r="M62" t="s">
        <v>31</v>
      </c>
    </row>
    <row r="63" spans="1:13" x14ac:dyDescent="0.25">
      <c r="A63" t="s">
        <v>28</v>
      </c>
      <c r="B63">
        <v>2025003</v>
      </c>
      <c r="C63" s="7">
        <v>45527</v>
      </c>
      <c r="D63" t="s">
        <v>14</v>
      </c>
      <c r="E63" t="s">
        <v>39</v>
      </c>
      <c r="F63" t="s">
        <v>60</v>
      </c>
      <c r="G63" t="s">
        <v>21</v>
      </c>
      <c r="H63">
        <v>1120</v>
      </c>
      <c r="I63">
        <v>170</v>
      </c>
      <c r="J63">
        <v>190400</v>
      </c>
      <c r="K63">
        <v>95200</v>
      </c>
      <c r="L63" s="2">
        <v>0.5</v>
      </c>
      <c r="M63" t="s">
        <v>31</v>
      </c>
    </row>
    <row r="64" spans="1:13" x14ac:dyDescent="0.25">
      <c r="A64" t="s">
        <v>32</v>
      </c>
      <c r="B64">
        <v>2025004</v>
      </c>
      <c r="C64" s="7">
        <v>45565</v>
      </c>
      <c r="D64" t="s">
        <v>14</v>
      </c>
      <c r="E64" t="s">
        <v>42</v>
      </c>
      <c r="F64" t="s">
        <v>61</v>
      </c>
      <c r="G64" t="s">
        <v>22</v>
      </c>
      <c r="H64">
        <v>420</v>
      </c>
      <c r="I64">
        <v>150</v>
      </c>
      <c r="J64">
        <v>63000</v>
      </c>
      <c r="K64">
        <v>34650</v>
      </c>
      <c r="L64" s="2">
        <v>0.55000000000000004</v>
      </c>
      <c r="M64" t="s">
        <v>27</v>
      </c>
    </row>
    <row r="65" spans="1:13" x14ac:dyDescent="0.25">
      <c r="A65" t="s">
        <v>32</v>
      </c>
      <c r="B65">
        <v>2025004</v>
      </c>
      <c r="C65" s="7">
        <v>45566</v>
      </c>
      <c r="D65" t="s">
        <v>14</v>
      </c>
      <c r="E65" t="s">
        <v>42</v>
      </c>
      <c r="F65" t="s">
        <v>61</v>
      </c>
      <c r="G65" t="s">
        <v>23</v>
      </c>
      <c r="H65">
        <v>450</v>
      </c>
      <c r="I65">
        <v>140</v>
      </c>
      <c r="J65">
        <v>63000</v>
      </c>
      <c r="K65">
        <v>47250</v>
      </c>
      <c r="L65" s="2">
        <v>0.75</v>
      </c>
      <c r="M65" t="s">
        <v>27</v>
      </c>
    </row>
    <row r="66" spans="1:13" x14ac:dyDescent="0.25">
      <c r="A66" t="s">
        <v>35</v>
      </c>
      <c r="B66">
        <v>2025005</v>
      </c>
      <c r="C66" s="7">
        <v>45575</v>
      </c>
      <c r="D66" t="s">
        <v>14</v>
      </c>
      <c r="E66" t="s">
        <v>45</v>
      </c>
      <c r="F66" t="s">
        <v>62</v>
      </c>
      <c r="G66" t="s">
        <v>17</v>
      </c>
      <c r="H66">
        <v>750</v>
      </c>
      <c r="I66">
        <v>130</v>
      </c>
      <c r="J66">
        <v>97500</v>
      </c>
      <c r="K66">
        <v>43875</v>
      </c>
      <c r="L66" s="2">
        <v>0.45</v>
      </c>
      <c r="M66" t="s">
        <v>18</v>
      </c>
    </row>
    <row r="67" spans="1:13" x14ac:dyDescent="0.25">
      <c r="A67" t="s">
        <v>35</v>
      </c>
      <c r="B67">
        <v>2025005</v>
      </c>
      <c r="C67" s="7">
        <v>45576</v>
      </c>
      <c r="D67" t="s">
        <v>14</v>
      </c>
      <c r="E67" t="s">
        <v>45</v>
      </c>
      <c r="F67" t="s">
        <v>62</v>
      </c>
      <c r="G67" t="s">
        <v>19</v>
      </c>
      <c r="H67">
        <v>790</v>
      </c>
      <c r="I67">
        <v>120</v>
      </c>
      <c r="J67">
        <v>94800</v>
      </c>
      <c r="K67">
        <v>40644</v>
      </c>
      <c r="L67" s="2">
        <v>0.43</v>
      </c>
      <c r="M67" t="s">
        <v>18</v>
      </c>
    </row>
    <row r="68" spans="1:13" x14ac:dyDescent="0.25">
      <c r="A68" t="s">
        <v>38</v>
      </c>
      <c r="B68">
        <v>2025006</v>
      </c>
      <c r="C68" s="7">
        <v>45601</v>
      </c>
      <c r="D68" t="s">
        <v>14</v>
      </c>
      <c r="E68" t="s">
        <v>48</v>
      </c>
      <c r="F68" t="s">
        <v>63</v>
      </c>
      <c r="G68" t="s">
        <v>20</v>
      </c>
      <c r="H68">
        <v>880</v>
      </c>
      <c r="I68">
        <v>90</v>
      </c>
      <c r="J68">
        <v>79200</v>
      </c>
      <c r="K68">
        <v>39600</v>
      </c>
      <c r="L68" s="2">
        <v>0.5</v>
      </c>
      <c r="M68" t="s">
        <v>31</v>
      </c>
    </row>
    <row r="69" spans="1:13" x14ac:dyDescent="0.25">
      <c r="A69" t="s">
        <v>38</v>
      </c>
      <c r="B69">
        <v>2025006</v>
      </c>
      <c r="C69" s="7">
        <v>45602</v>
      </c>
      <c r="D69" t="s">
        <v>14</v>
      </c>
      <c r="E69" t="s">
        <v>48</v>
      </c>
      <c r="F69" t="s">
        <v>63</v>
      </c>
      <c r="G69" t="s">
        <v>21</v>
      </c>
      <c r="H69">
        <v>920</v>
      </c>
      <c r="I69">
        <v>85</v>
      </c>
      <c r="J69">
        <v>78200</v>
      </c>
      <c r="K69">
        <v>50830</v>
      </c>
      <c r="L69" s="2">
        <v>0.65</v>
      </c>
      <c r="M69" t="s">
        <v>31</v>
      </c>
    </row>
    <row r="70" spans="1:13" x14ac:dyDescent="0.25">
      <c r="A70" t="s">
        <v>41</v>
      </c>
      <c r="B70">
        <v>2025007</v>
      </c>
      <c r="C70" s="7">
        <v>45296</v>
      </c>
      <c r="D70" t="s">
        <v>14</v>
      </c>
      <c r="E70" t="s">
        <v>15</v>
      </c>
      <c r="F70" t="s">
        <v>64</v>
      </c>
      <c r="G70" t="s">
        <v>17</v>
      </c>
      <c r="H70">
        <v>620</v>
      </c>
      <c r="I70">
        <v>220</v>
      </c>
      <c r="J70">
        <v>136400</v>
      </c>
      <c r="K70">
        <v>54560</v>
      </c>
      <c r="L70" s="2">
        <v>0.4</v>
      </c>
      <c r="M70" t="s">
        <v>18</v>
      </c>
    </row>
    <row r="71" spans="1:13" x14ac:dyDescent="0.25">
      <c r="A71" t="s">
        <v>41</v>
      </c>
      <c r="B71">
        <v>2025007</v>
      </c>
      <c r="C71" s="7">
        <v>45297</v>
      </c>
      <c r="D71" t="s">
        <v>14</v>
      </c>
      <c r="E71" t="s">
        <v>15</v>
      </c>
      <c r="F71" t="s">
        <v>64</v>
      </c>
      <c r="G71" t="s">
        <v>19</v>
      </c>
      <c r="H71">
        <v>660</v>
      </c>
      <c r="I71">
        <v>200</v>
      </c>
      <c r="J71">
        <v>132000</v>
      </c>
      <c r="K71">
        <v>39600</v>
      </c>
      <c r="L71" s="2">
        <v>0.3</v>
      </c>
      <c r="M71" t="s">
        <v>18</v>
      </c>
    </row>
    <row r="72" spans="1:13" x14ac:dyDescent="0.25">
      <c r="A72" t="s">
        <v>44</v>
      </c>
      <c r="B72">
        <v>2025008</v>
      </c>
      <c r="C72" s="7">
        <v>45334</v>
      </c>
      <c r="D72" t="s">
        <v>14</v>
      </c>
      <c r="E72" t="s">
        <v>25</v>
      </c>
      <c r="F72" t="s">
        <v>65</v>
      </c>
      <c r="G72" t="s">
        <v>20</v>
      </c>
      <c r="H72">
        <v>310</v>
      </c>
      <c r="I72">
        <v>180</v>
      </c>
      <c r="J72">
        <v>55800</v>
      </c>
      <c r="K72">
        <v>22320</v>
      </c>
      <c r="L72" s="2">
        <v>0.4</v>
      </c>
      <c r="M72" t="s">
        <v>27</v>
      </c>
    </row>
    <row r="73" spans="1:13" x14ac:dyDescent="0.25">
      <c r="A73" t="s">
        <v>44</v>
      </c>
      <c r="B73">
        <v>2025008</v>
      </c>
      <c r="C73" s="7">
        <v>45335</v>
      </c>
      <c r="D73" t="s">
        <v>14</v>
      </c>
      <c r="E73" t="s">
        <v>25</v>
      </c>
      <c r="F73" t="s">
        <v>65</v>
      </c>
      <c r="G73" t="s">
        <v>21</v>
      </c>
      <c r="H73">
        <v>330</v>
      </c>
      <c r="I73">
        <v>170</v>
      </c>
      <c r="J73">
        <v>56100</v>
      </c>
      <c r="K73">
        <v>33099</v>
      </c>
      <c r="L73" s="2">
        <v>0.59</v>
      </c>
      <c r="M73" t="s">
        <v>27</v>
      </c>
    </row>
    <row r="74" spans="1:13" x14ac:dyDescent="0.25">
      <c r="A74" t="s">
        <v>47</v>
      </c>
      <c r="B74">
        <v>2025009</v>
      </c>
      <c r="C74" s="7">
        <v>45369</v>
      </c>
      <c r="D74" t="s">
        <v>14</v>
      </c>
      <c r="E74" t="s">
        <v>29</v>
      </c>
      <c r="F74" t="s">
        <v>66</v>
      </c>
      <c r="G74" t="s">
        <v>22</v>
      </c>
      <c r="H74">
        <v>550</v>
      </c>
      <c r="I74">
        <v>190</v>
      </c>
      <c r="J74">
        <v>104500</v>
      </c>
      <c r="K74">
        <v>20900</v>
      </c>
      <c r="L74" s="2">
        <v>0.2</v>
      </c>
      <c r="M74" t="s">
        <v>31</v>
      </c>
    </row>
    <row r="75" spans="1:13" x14ac:dyDescent="0.25">
      <c r="A75" t="s">
        <v>47</v>
      </c>
      <c r="B75">
        <v>2025009</v>
      </c>
      <c r="C75" s="7">
        <v>45370</v>
      </c>
      <c r="D75" t="s">
        <v>14</v>
      </c>
      <c r="E75" t="s">
        <v>29</v>
      </c>
      <c r="F75" t="s">
        <v>66</v>
      </c>
      <c r="G75" t="s">
        <v>23</v>
      </c>
      <c r="H75">
        <v>590</v>
      </c>
      <c r="I75">
        <v>210</v>
      </c>
      <c r="J75">
        <v>123900</v>
      </c>
      <c r="K75">
        <v>12390</v>
      </c>
      <c r="L75" s="2">
        <v>0.1</v>
      </c>
      <c r="M75" t="s">
        <v>31</v>
      </c>
    </row>
    <row r="76" spans="1:13" x14ac:dyDescent="0.25">
      <c r="A76" t="s">
        <v>50</v>
      </c>
      <c r="B76">
        <v>2025010</v>
      </c>
      <c r="C76" s="7">
        <v>45407</v>
      </c>
      <c r="D76" t="s">
        <v>14</v>
      </c>
      <c r="E76" t="s">
        <v>33</v>
      </c>
      <c r="F76" t="s">
        <v>67</v>
      </c>
      <c r="G76" t="s">
        <v>17</v>
      </c>
      <c r="H76">
        <v>480</v>
      </c>
      <c r="I76">
        <v>160</v>
      </c>
      <c r="J76">
        <v>76800</v>
      </c>
      <c r="K76">
        <v>30720</v>
      </c>
      <c r="L76" s="2">
        <v>0.4</v>
      </c>
      <c r="M76" t="s">
        <v>18</v>
      </c>
    </row>
    <row r="77" spans="1:13" x14ac:dyDescent="0.25">
      <c r="A77" t="s">
        <v>50</v>
      </c>
      <c r="B77">
        <v>2025010</v>
      </c>
      <c r="C77" s="7">
        <v>45408</v>
      </c>
      <c r="D77" t="s">
        <v>14</v>
      </c>
      <c r="E77" t="s">
        <v>33</v>
      </c>
      <c r="F77" t="s">
        <v>67</v>
      </c>
      <c r="G77" t="s">
        <v>19</v>
      </c>
      <c r="H77">
        <v>510</v>
      </c>
      <c r="I77">
        <v>150</v>
      </c>
      <c r="J77">
        <v>76500</v>
      </c>
      <c r="K77">
        <v>25763</v>
      </c>
      <c r="L77" s="2">
        <v>0.34</v>
      </c>
      <c r="M77" t="s">
        <v>18</v>
      </c>
    </row>
    <row r="78" spans="1:13" x14ac:dyDescent="0.25">
      <c r="A78" t="s">
        <v>13</v>
      </c>
      <c r="B78">
        <v>2025001</v>
      </c>
      <c r="C78" s="7">
        <v>45427</v>
      </c>
      <c r="D78" t="s">
        <v>14</v>
      </c>
      <c r="E78" t="s">
        <v>36</v>
      </c>
      <c r="F78" t="s">
        <v>68</v>
      </c>
      <c r="G78" t="s">
        <v>20</v>
      </c>
      <c r="H78">
        <v>590</v>
      </c>
      <c r="I78">
        <v>170</v>
      </c>
      <c r="J78">
        <v>100300</v>
      </c>
      <c r="K78">
        <v>35105</v>
      </c>
      <c r="L78" s="2">
        <v>0.35</v>
      </c>
      <c r="M78" t="s">
        <v>18</v>
      </c>
    </row>
    <row r="79" spans="1:13" x14ac:dyDescent="0.25">
      <c r="A79" t="s">
        <v>13</v>
      </c>
      <c r="B79">
        <v>2025001</v>
      </c>
      <c r="C79" s="7">
        <v>45428</v>
      </c>
      <c r="D79" t="s">
        <v>14</v>
      </c>
      <c r="E79" t="s">
        <v>36</v>
      </c>
      <c r="F79" t="s">
        <v>68</v>
      </c>
      <c r="G79" t="s">
        <v>21</v>
      </c>
      <c r="H79">
        <v>620</v>
      </c>
      <c r="I79">
        <v>160</v>
      </c>
      <c r="J79">
        <v>99200</v>
      </c>
      <c r="K79">
        <v>49600</v>
      </c>
      <c r="L79" s="2">
        <v>0.5</v>
      </c>
      <c r="M79" t="s">
        <v>18</v>
      </c>
    </row>
    <row r="80" spans="1:13" x14ac:dyDescent="0.25">
      <c r="A80" t="s">
        <v>24</v>
      </c>
      <c r="B80">
        <v>2025002</v>
      </c>
      <c r="C80" s="7">
        <v>45463</v>
      </c>
      <c r="D80" t="s">
        <v>14</v>
      </c>
      <c r="E80" t="s">
        <v>39</v>
      </c>
      <c r="F80" t="s">
        <v>69</v>
      </c>
      <c r="G80" t="s">
        <v>22</v>
      </c>
      <c r="H80">
        <v>440</v>
      </c>
      <c r="I80">
        <v>140</v>
      </c>
      <c r="J80">
        <v>61600</v>
      </c>
      <c r="K80">
        <v>27720</v>
      </c>
      <c r="L80" s="2">
        <v>0.45</v>
      </c>
      <c r="M80" t="s">
        <v>27</v>
      </c>
    </row>
    <row r="81" spans="1:13" x14ac:dyDescent="0.25">
      <c r="A81" t="s">
        <v>24</v>
      </c>
      <c r="B81">
        <v>2025002</v>
      </c>
      <c r="C81" s="7">
        <v>45464</v>
      </c>
      <c r="D81" t="s">
        <v>14</v>
      </c>
      <c r="E81" t="s">
        <v>39</v>
      </c>
      <c r="F81" t="s">
        <v>69</v>
      </c>
      <c r="G81" t="s">
        <v>23</v>
      </c>
      <c r="H81">
        <v>470</v>
      </c>
      <c r="I81">
        <v>130</v>
      </c>
      <c r="J81">
        <v>61100</v>
      </c>
      <c r="K81">
        <v>42770</v>
      </c>
      <c r="L81" s="2">
        <v>0.7</v>
      </c>
      <c r="M81" t="s">
        <v>27</v>
      </c>
    </row>
    <row r="82" spans="1:13" x14ac:dyDescent="0.25">
      <c r="A82" t="s">
        <v>28</v>
      </c>
      <c r="B82">
        <v>2025003</v>
      </c>
      <c r="C82" s="7">
        <v>45501</v>
      </c>
      <c r="D82" t="s">
        <v>14</v>
      </c>
      <c r="E82" t="s">
        <v>42</v>
      </c>
      <c r="F82" t="s">
        <v>70</v>
      </c>
      <c r="G82" t="s">
        <v>20</v>
      </c>
      <c r="H82">
        <v>1050</v>
      </c>
      <c r="I82">
        <v>110</v>
      </c>
      <c r="J82">
        <v>115500</v>
      </c>
      <c r="K82">
        <v>51975</v>
      </c>
      <c r="L82" s="2">
        <v>0.45</v>
      </c>
      <c r="M82" t="s">
        <v>31</v>
      </c>
    </row>
    <row r="83" spans="1:13" x14ac:dyDescent="0.25">
      <c r="A83" t="s">
        <v>28</v>
      </c>
      <c r="B83">
        <v>2025003</v>
      </c>
      <c r="C83" s="7">
        <v>45502</v>
      </c>
      <c r="D83" t="s">
        <v>14</v>
      </c>
      <c r="E83" t="s">
        <v>42</v>
      </c>
      <c r="F83" t="s">
        <v>70</v>
      </c>
      <c r="G83" t="s">
        <v>21</v>
      </c>
      <c r="H83">
        <v>1090</v>
      </c>
      <c r="I83">
        <v>100</v>
      </c>
      <c r="J83">
        <v>109000</v>
      </c>
      <c r="K83">
        <v>55590</v>
      </c>
      <c r="L83" s="2">
        <v>0.51</v>
      </c>
      <c r="M83" t="s">
        <v>31</v>
      </c>
    </row>
    <row r="84" spans="1:13" x14ac:dyDescent="0.25">
      <c r="A84" t="s">
        <v>32</v>
      </c>
      <c r="B84">
        <v>2025004</v>
      </c>
      <c r="C84" s="7">
        <v>45518</v>
      </c>
      <c r="D84" t="s">
        <v>14</v>
      </c>
      <c r="E84" t="s">
        <v>45</v>
      </c>
      <c r="F84" t="s">
        <v>71</v>
      </c>
      <c r="G84" t="s">
        <v>17</v>
      </c>
      <c r="H84">
        <v>360</v>
      </c>
      <c r="I84">
        <v>120</v>
      </c>
      <c r="J84">
        <v>43200</v>
      </c>
      <c r="K84">
        <v>21600</v>
      </c>
      <c r="L84" s="2">
        <v>0.5</v>
      </c>
      <c r="M84" t="s">
        <v>27</v>
      </c>
    </row>
    <row r="85" spans="1:13" x14ac:dyDescent="0.25">
      <c r="A85" t="s">
        <v>32</v>
      </c>
      <c r="B85">
        <v>2025004</v>
      </c>
      <c r="C85" s="7">
        <v>45519</v>
      </c>
      <c r="D85" t="s">
        <v>14</v>
      </c>
      <c r="E85" t="s">
        <v>45</v>
      </c>
      <c r="F85" t="s">
        <v>71</v>
      </c>
      <c r="G85" t="s">
        <v>19</v>
      </c>
      <c r="H85">
        <v>390</v>
      </c>
      <c r="I85">
        <v>110</v>
      </c>
      <c r="J85">
        <v>42900</v>
      </c>
      <c r="K85">
        <v>17160</v>
      </c>
      <c r="L85" s="2">
        <v>0.4</v>
      </c>
      <c r="M85" t="s">
        <v>27</v>
      </c>
    </row>
    <row r="86" spans="1:13" x14ac:dyDescent="0.25">
      <c r="A86" t="s">
        <v>35</v>
      </c>
      <c r="B86">
        <v>2025005</v>
      </c>
      <c r="C86" s="7">
        <v>45547</v>
      </c>
      <c r="D86" t="s">
        <v>14</v>
      </c>
      <c r="E86" t="s">
        <v>48</v>
      </c>
      <c r="F86" t="s">
        <v>72</v>
      </c>
      <c r="G86" t="s">
        <v>20</v>
      </c>
      <c r="H86">
        <v>450</v>
      </c>
      <c r="I86">
        <v>90</v>
      </c>
      <c r="J86">
        <v>40500</v>
      </c>
      <c r="K86">
        <v>13770</v>
      </c>
      <c r="L86" s="2">
        <v>0.34</v>
      </c>
      <c r="M86" t="s">
        <v>18</v>
      </c>
    </row>
    <row r="87" spans="1:13" x14ac:dyDescent="0.25">
      <c r="A87" t="s">
        <v>35</v>
      </c>
      <c r="B87">
        <v>2025005</v>
      </c>
      <c r="C87" s="7">
        <v>45548</v>
      </c>
      <c r="D87" t="s">
        <v>14</v>
      </c>
      <c r="E87" t="s">
        <v>48</v>
      </c>
      <c r="F87" t="s">
        <v>72</v>
      </c>
      <c r="G87" t="s">
        <v>21</v>
      </c>
      <c r="H87">
        <v>480</v>
      </c>
      <c r="I87">
        <v>80</v>
      </c>
      <c r="J87">
        <v>38400</v>
      </c>
      <c r="K87">
        <v>20736</v>
      </c>
      <c r="L87" s="2">
        <v>0.54</v>
      </c>
      <c r="M87" t="s">
        <v>18</v>
      </c>
    </row>
    <row r="88" spans="1:13" x14ac:dyDescent="0.25">
      <c r="A88" t="s">
        <v>38</v>
      </c>
      <c r="B88">
        <v>2025006</v>
      </c>
      <c r="C88" s="7">
        <v>45583</v>
      </c>
      <c r="D88" t="s">
        <v>14</v>
      </c>
      <c r="E88" t="s">
        <v>15</v>
      </c>
      <c r="F88" t="s">
        <v>73</v>
      </c>
      <c r="G88" t="s">
        <v>22</v>
      </c>
      <c r="H88">
        <v>950</v>
      </c>
      <c r="I88">
        <v>240</v>
      </c>
      <c r="J88">
        <v>228000</v>
      </c>
      <c r="K88">
        <v>136800</v>
      </c>
      <c r="L88" s="2">
        <v>0.6</v>
      </c>
      <c r="M88" t="s">
        <v>31</v>
      </c>
    </row>
    <row r="89" spans="1:13" x14ac:dyDescent="0.25">
      <c r="A89" t="s">
        <v>38</v>
      </c>
      <c r="B89">
        <v>2025006</v>
      </c>
      <c r="C89" s="7">
        <v>45584</v>
      </c>
      <c r="D89" t="s">
        <v>14</v>
      </c>
      <c r="E89" t="s">
        <v>15</v>
      </c>
      <c r="F89" t="s">
        <v>73</v>
      </c>
      <c r="G89" t="s">
        <v>23</v>
      </c>
      <c r="H89">
        <v>990</v>
      </c>
      <c r="I89">
        <v>260</v>
      </c>
      <c r="J89">
        <v>257400</v>
      </c>
      <c r="K89">
        <v>180180</v>
      </c>
      <c r="L89" s="2">
        <v>0.7</v>
      </c>
      <c r="M89" t="s">
        <v>31</v>
      </c>
    </row>
    <row r="90" spans="1:13" x14ac:dyDescent="0.25">
      <c r="A90" t="s">
        <v>41</v>
      </c>
      <c r="B90">
        <v>2025007</v>
      </c>
      <c r="C90" s="7">
        <v>45618</v>
      </c>
      <c r="D90" t="s">
        <v>14</v>
      </c>
      <c r="E90" t="s">
        <v>25</v>
      </c>
      <c r="F90" t="s">
        <v>74</v>
      </c>
      <c r="G90" t="s">
        <v>17</v>
      </c>
      <c r="H90">
        <v>680</v>
      </c>
      <c r="I90">
        <v>180</v>
      </c>
      <c r="J90">
        <v>122400</v>
      </c>
      <c r="K90">
        <v>48960</v>
      </c>
      <c r="L90" s="2">
        <v>0.4</v>
      </c>
      <c r="M90" t="s">
        <v>18</v>
      </c>
    </row>
    <row r="91" spans="1:13" x14ac:dyDescent="0.25">
      <c r="A91" t="s">
        <v>41</v>
      </c>
      <c r="B91">
        <v>2025007</v>
      </c>
      <c r="C91" s="7">
        <v>45619</v>
      </c>
      <c r="D91" t="s">
        <v>14</v>
      </c>
      <c r="E91" t="s">
        <v>25</v>
      </c>
      <c r="F91" t="s">
        <v>74</v>
      </c>
      <c r="G91" t="s">
        <v>19</v>
      </c>
      <c r="H91">
        <v>720</v>
      </c>
      <c r="I91">
        <v>170</v>
      </c>
      <c r="J91">
        <v>122400</v>
      </c>
      <c r="K91">
        <v>36720</v>
      </c>
      <c r="L91" s="2">
        <v>0.3</v>
      </c>
      <c r="M91" t="s">
        <v>18</v>
      </c>
    </row>
    <row r="92" spans="1:13" x14ac:dyDescent="0.25">
      <c r="A92" t="s">
        <v>44</v>
      </c>
      <c r="B92">
        <v>2025008</v>
      </c>
      <c r="C92" s="7">
        <v>45311</v>
      </c>
      <c r="D92" t="s">
        <v>14</v>
      </c>
      <c r="E92" t="s">
        <v>29</v>
      </c>
      <c r="F92" t="s">
        <v>75</v>
      </c>
      <c r="G92" t="s">
        <v>20</v>
      </c>
      <c r="H92">
        <v>290</v>
      </c>
      <c r="I92">
        <v>100</v>
      </c>
      <c r="J92">
        <v>29000</v>
      </c>
      <c r="K92">
        <v>15950</v>
      </c>
      <c r="L92" s="2">
        <v>0.55000000000000004</v>
      </c>
      <c r="M92" t="s">
        <v>27</v>
      </c>
    </row>
    <row r="93" spans="1:13" x14ac:dyDescent="0.25">
      <c r="A93" t="s">
        <v>44</v>
      </c>
      <c r="B93">
        <v>2025008</v>
      </c>
      <c r="C93" s="7">
        <v>45312</v>
      </c>
      <c r="D93" t="s">
        <v>14</v>
      </c>
      <c r="E93" t="s">
        <v>29</v>
      </c>
      <c r="F93" t="s">
        <v>75</v>
      </c>
      <c r="G93" t="s">
        <v>21</v>
      </c>
      <c r="H93">
        <v>310</v>
      </c>
      <c r="I93">
        <v>95</v>
      </c>
      <c r="J93">
        <v>29450</v>
      </c>
      <c r="K93">
        <v>17670</v>
      </c>
      <c r="L93" s="2">
        <v>0.6</v>
      </c>
      <c r="M93" t="s">
        <v>27</v>
      </c>
    </row>
    <row r="94" spans="1:13" x14ac:dyDescent="0.25">
      <c r="A94" t="s">
        <v>47</v>
      </c>
      <c r="B94">
        <v>2025009</v>
      </c>
      <c r="C94" s="7">
        <v>45350</v>
      </c>
      <c r="D94" t="s">
        <v>14</v>
      </c>
      <c r="E94" t="s">
        <v>36</v>
      </c>
      <c r="F94" t="s">
        <v>76</v>
      </c>
      <c r="G94" t="s">
        <v>22</v>
      </c>
      <c r="H94">
        <v>490</v>
      </c>
      <c r="I94">
        <v>130</v>
      </c>
      <c r="J94">
        <v>63700</v>
      </c>
      <c r="K94">
        <v>12740</v>
      </c>
      <c r="L94" s="2">
        <v>0.2</v>
      </c>
      <c r="M94" t="s">
        <v>31</v>
      </c>
    </row>
    <row r="95" spans="1:13" x14ac:dyDescent="0.25">
      <c r="A95" t="s">
        <v>47</v>
      </c>
      <c r="B95">
        <v>2025009</v>
      </c>
      <c r="C95" s="7">
        <v>45352</v>
      </c>
      <c r="D95" t="s">
        <v>14</v>
      </c>
      <c r="E95" t="s">
        <v>36</v>
      </c>
      <c r="F95" t="s">
        <v>76</v>
      </c>
      <c r="G95" t="s">
        <v>23</v>
      </c>
      <c r="H95">
        <v>510</v>
      </c>
      <c r="I95">
        <v>140</v>
      </c>
      <c r="J95">
        <v>71400</v>
      </c>
      <c r="K95">
        <v>5712</v>
      </c>
      <c r="L95" s="2">
        <v>0.08</v>
      </c>
      <c r="M95" t="s">
        <v>31</v>
      </c>
    </row>
    <row r="96" spans="1:13" x14ac:dyDescent="0.25">
      <c r="A96" t="s">
        <v>50</v>
      </c>
      <c r="B96">
        <v>2025010</v>
      </c>
      <c r="C96" s="7">
        <v>45392</v>
      </c>
      <c r="D96" t="s">
        <v>14</v>
      </c>
      <c r="E96" t="s">
        <v>39</v>
      </c>
      <c r="F96" t="s">
        <v>77</v>
      </c>
      <c r="G96" t="s">
        <v>20</v>
      </c>
      <c r="H96">
        <v>410</v>
      </c>
      <c r="I96">
        <v>100</v>
      </c>
      <c r="J96">
        <v>41000</v>
      </c>
      <c r="K96">
        <v>16400</v>
      </c>
      <c r="L96" s="2">
        <v>0.4</v>
      </c>
      <c r="M96" t="s">
        <v>18</v>
      </c>
    </row>
    <row r="97" spans="1:13" x14ac:dyDescent="0.25">
      <c r="A97" t="s">
        <v>50</v>
      </c>
      <c r="B97">
        <v>2025010</v>
      </c>
      <c r="C97" s="7">
        <v>45393</v>
      </c>
      <c r="D97" t="s">
        <v>14</v>
      </c>
      <c r="E97" t="s">
        <v>39</v>
      </c>
      <c r="F97" t="s">
        <v>77</v>
      </c>
      <c r="G97" t="s">
        <v>21</v>
      </c>
      <c r="H97">
        <v>430</v>
      </c>
      <c r="I97">
        <v>90</v>
      </c>
      <c r="J97">
        <v>38700</v>
      </c>
      <c r="K97">
        <v>19350</v>
      </c>
      <c r="L97" s="2">
        <v>0.5</v>
      </c>
      <c r="M97" t="s">
        <v>18</v>
      </c>
    </row>
    <row r="98" spans="1:13" x14ac:dyDescent="0.25">
      <c r="A98" t="s">
        <v>13</v>
      </c>
      <c r="B98">
        <v>2025001</v>
      </c>
      <c r="C98" s="7">
        <v>45437</v>
      </c>
      <c r="D98" t="s">
        <v>14</v>
      </c>
      <c r="E98" t="s">
        <v>42</v>
      </c>
      <c r="F98" t="s">
        <v>78</v>
      </c>
      <c r="G98" t="s">
        <v>17</v>
      </c>
      <c r="H98">
        <v>720</v>
      </c>
      <c r="I98">
        <v>210</v>
      </c>
      <c r="J98">
        <v>151200</v>
      </c>
      <c r="K98">
        <v>75600</v>
      </c>
      <c r="L98" s="2">
        <v>0.5</v>
      </c>
      <c r="M98" t="s">
        <v>18</v>
      </c>
    </row>
    <row r="99" spans="1:13" x14ac:dyDescent="0.25">
      <c r="A99" t="s">
        <v>13</v>
      </c>
      <c r="B99">
        <v>2025001</v>
      </c>
      <c r="C99" s="7">
        <v>45438</v>
      </c>
      <c r="D99" t="s">
        <v>14</v>
      </c>
      <c r="E99" t="s">
        <v>42</v>
      </c>
      <c r="F99" t="s">
        <v>78</v>
      </c>
      <c r="G99" t="s">
        <v>19</v>
      </c>
      <c r="H99">
        <v>760</v>
      </c>
      <c r="I99">
        <v>190</v>
      </c>
      <c r="J99">
        <v>144400</v>
      </c>
      <c r="K99">
        <v>38988</v>
      </c>
      <c r="L99" s="2">
        <v>0.27</v>
      </c>
      <c r="M99" t="s">
        <v>18</v>
      </c>
    </row>
    <row r="100" spans="1:13" x14ac:dyDescent="0.25">
      <c r="A100" t="s">
        <v>24</v>
      </c>
      <c r="B100">
        <v>2025002</v>
      </c>
      <c r="C100" s="7">
        <v>45473</v>
      </c>
      <c r="D100" t="s">
        <v>14</v>
      </c>
      <c r="E100" t="s">
        <v>45</v>
      </c>
      <c r="F100" t="s">
        <v>79</v>
      </c>
      <c r="G100" t="s">
        <v>20</v>
      </c>
      <c r="H100">
        <v>410</v>
      </c>
      <c r="I100">
        <v>190</v>
      </c>
      <c r="J100">
        <v>77900</v>
      </c>
      <c r="K100">
        <v>38950</v>
      </c>
      <c r="L100" s="2">
        <v>0.5</v>
      </c>
      <c r="M100" t="s">
        <v>27</v>
      </c>
    </row>
    <row r="101" spans="1:13" x14ac:dyDescent="0.25">
      <c r="A101" t="s">
        <v>24</v>
      </c>
      <c r="B101">
        <v>2025002</v>
      </c>
      <c r="C101" s="7">
        <v>45474</v>
      </c>
      <c r="D101" t="s">
        <v>14</v>
      </c>
      <c r="E101" t="s">
        <v>45</v>
      </c>
      <c r="F101" t="s">
        <v>79</v>
      </c>
      <c r="G101" t="s">
        <v>21</v>
      </c>
      <c r="H101">
        <v>440</v>
      </c>
      <c r="I101">
        <v>180</v>
      </c>
      <c r="J101">
        <v>79200</v>
      </c>
      <c r="K101">
        <v>49104</v>
      </c>
      <c r="L101" s="2">
        <v>0.62</v>
      </c>
      <c r="M101" t="s">
        <v>27</v>
      </c>
    </row>
    <row r="102" spans="1:13" x14ac:dyDescent="0.25">
      <c r="A102" t="s">
        <v>28</v>
      </c>
      <c r="B102">
        <v>2025003</v>
      </c>
      <c r="C102" s="7">
        <v>45512</v>
      </c>
      <c r="D102" t="s">
        <v>14</v>
      </c>
      <c r="E102" t="s">
        <v>48</v>
      </c>
      <c r="F102" t="s">
        <v>80</v>
      </c>
      <c r="G102" t="s">
        <v>23</v>
      </c>
      <c r="H102">
        <v>1140</v>
      </c>
      <c r="I102">
        <v>70</v>
      </c>
      <c r="J102">
        <v>79800</v>
      </c>
      <c r="K102">
        <v>31920</v>
      </c>
      <c r="L102" s="2">
        <v>0.4</v>
      </c>
      <c r="M102" t="s">
        <v>31</v>
      </c>
    </row>
    <row r="103" spans="1:13" x14ac:dyDescent="0.25">
      <c r="A103" t="s">
        <v>32</v>
      </c>
      <c r="B103">
        <v>2025004</v>
      </c>
      <c r="C103" s="7">
        <v>45557</v>
      </c>
      <c r="D103" t="s">
        <v>14</v>
      </c>
      <c r="E103" t="s">
        <v>15</v>
      </c>
      <c r="F103" t="s">
        <v>81</v>
      </c>
      <c r="G103" t="s">
        <v>17</v>
      </c>
      <c r="H103">
        <v>380</v>
      </c>
      <c r="I103">
        <v>170</v>
      </c>
      <c r="J103">
        <v>64600</v>
      </c>
      <c r="K103">
        <v>22610</v>
      </c>
      <c r="L103" s="2">
        <v>0.35</v>
      </c>
      <c r="M103" t="s">
        <v>27</v>
      </c>
    </row>
    <row r="104" spans="1:13" x14ac:dyDescent="0.25">
      <c r="A104" t="s">
        <v>13</v>
      </c>
      <c r="B104">
        <v>2025001</v>
      </c>
      <c r="C104" s="7">
        <v>45478</v>
      </c>
      <c r="D104" t="s">
        <v>14</v>
      </c>
      <c r="E104" t="s">
        <v>15</v>
      </c>
      <c r="F104" t="s">
        <v>16</v>
      </c>
      <c r="G104" t="s">
        <v>17</v>
      </c>
      <c r="H104">
        <v>780</v>
      </c>
      <c r="I104">
        <v>720</v>
      </c>
      <c r="J104">
        <v>561600</v>
      </c>
      <c r="K104">
        <v>280800</v>
      </c>
      <c r="L104" s="2">
        <v>0.5</v>
      </c>
      <c r="M104" t="s">
        <v>18</v>
      </c>
    </row>
    <row r="105" spans="1:13" x14ac:dyDescent="0.25">
      <c r="A105" t="s">
        <v>13</v>
      </c>
      <c r="B105">
        <v>2025001</v>
      </c>
      <c r="C105" s="7">
        <v>45479</v>
      </c>
      <c r="D105" t="s">
        <v>14</v>
      </c>
      <c r="E105" t="s">
        <v>15</v>
      </c>
      <c r="F105" t="s">
        <v>16</v>
      </c>
      <c r="G105" t="s">
        <v>19</v>
      </c>
      <c r="H105">
        <v>820</v>
      </c>
      <c r="I105">
        <v>650</v>
      </c>
      <c r="J105">
        <v>533000</v>
      </c>
      <c r="K105">
        <v>159900</v>
      </c>
      <c r="L105" s="2">
        <v>0.3</v>
      </c>
      <c r="M105" t="s">
        <v>18</v>
      </c>
    </row>
    <row r="106" spans="1:13" x14ac:dyDescent="0.25">
      <c r="A106" t="s">
        <v>13</v>
      </c>
      <c r="B106">
        <v>2025001</v>
      </c>
      <c r="C106" s="7">
        <v>45480</v>
      </c>
      <c r="D106" t="s">
        <v>14</v>
      </c>
      <c r="E106" t="s">
        <v>15</v>
      </c>
      <c r="F106" t="s">
        <v>16</v>
      </c>
      <c r="G106" t="s">
        <v>20</v>
      </c>
      <c r="H106">
        <v>680</v>
      </c>
      <c r="I106">
        <v>780</v>
      </c>
      <c r="J106">
        <v>530400</v>
      </c>
      <c r="K106">
        <v>185640</v>
      </c>
      <c r="L106" s="2">
        <v>0.35</v>
      </c>
      <c r="M106" t="s">
        <v>18</v>
      </c>
    </row>
    <row r="107" spans="1:13" x14ac:dyDescent="0.25">
      <c r="A107" t="s">
        <v>13</v>
      </c>
      <c r="B107">
        <v>2025001</v>
      </c>
      <c r="C107" s="7">
        <v>45481</v>
      </c>
      <c r="D107" t="s">
        <v>14</v>
      </c>
      <c r="E107" t="s">
        <v>15</v>
      </c>
      <c r="F107" t="s">
        <v>16</v>
      </c>
      <c r="G107" t="s">
        <v>21</v>
      </c>
      <c r="H107">
        <v>730</v>
      </c>
      <c r="I107">
        <v>700</v>
      </c>
      <c r="J107">
        <v>511000</v>
      </c>
      <c r="K107">
        <v>178850</v>
      </c>
      <c r="L107" s="2">
        <v>0.35</v>
      </c>
      <c r="M107" t="s">
        <v>18</v>
      </c>
    </row>
    <row r="108" spans="1:13" x14ac:dyDescent="0.25">
      <c r="A108" t="s">
        <v>24</v>
      </c>
      <c r="B108">
        <v>2025002</v>
      </c>
      <c r="C108" s="7">
        <v>45516</v>
      </c>
      <c r="D108" t="s">
        <v>14</v>
      </c>
      <c r="E108" t="s">
        <v>25</v>
      </c>
      <c r="F108" t="s">
        <v>26</v>
      </c>
      <c r="G108" t="s">
        <v>17</v>
      </c>
      <c r="H108">
        <v>1250</v>
      </c>
      <c r="I108">
        <v>980</v>
      </c>
      <c r="J108">
        <v>1225000</v>
      </c>
      <c r="K108">
        <v>612500</v>
      </c>
      <c r="L108" s="2">
        <v>0.5</v>
      </c>
      <c r="M108" t="s">
        <v>27</v>
      </c>
    </row>
    <row r="109" spans="1:13" x14ac:dyDescent="0.25">
      <c r="A109" t="s">
        <v>24</v>
      </c>
      <c r="B109">
        <v>2025002</v>
      </c>
      <c r="C109" s="7">
        <v>45517</v>
      </c>
      <c r="D109" t="s">
        <v>14</v>
      </c>
      <c r="E109" t="s">
        <v>25</v>
      </c>
      <c r="F109" t="s">
        <v>26</v>
      </c>
      <c r="G109" t="s">
        <v>19</v>
      </c>
      <c r="H109">
        <v>1150</v>
      </c>
      <c r="I109">
        <v>870</v>
      </c>
      <c r="J109">
        <v>1000500</v>
      </c>
      <c r="K109">
        <v>300150</v>
      </c>
      <c r="L109" s="2">
        <v>0.3</v>
      </c>
      <c r="M109" t="s">
        <v>27</v>
      </c>
    </row>
    <row r="110" spans="1:13" x14ac:dyDescent="0.25">
      <c r="A110" t="s">
        <v>24</v>
      </c>
      <c r="B110">
        <v>2025002</v>
      </c>
      <c r="C110" s="7">
        <v>45518</v>
      </c>
      <c r="D110" t="s">
        <v>14</v>
      </c>
      <c r="E110" t="s">
        <v>25</v>
      </c>
      <c r="F110" t="s">
        <v>26</v>
      </c>
      <c r="G110" t="s">
        <v>20</v>
      </c>
      <c r="H110">
        <v>1020</v>
      </c>
      <c r="I110">
        <v>920</v>
      </c>
      <c r="J110">
        <v>938400</v>
      </c>
      <c r="K110">
        <v>328440</v>
      </c>
      <c r="L110" s="2">
        <v>0.35</v>
      </c>
      <c r="M110" t="s">
        <v>27</v>
      </c>
    </row>
    <row r="111" spans="1:13" x14ac:dyDescent="0.25">
      <c r="A111" t="s">
        <v>24</v>
      </c>
      <c r="B111">
        <v>2025002</v>
      </c>
      <c r="C111" s="7">
        <v>45519</v>
      </c>
      <c r="D111" t="s">
        <v>14</v>
      </c>
      <c r="E111" t="s">
        <v>25</v>
      </c>
      <c r="F111" t="s">
        <v>26</v>
      </c>
      <c r="G111" t="s">
        <v>21</v>
      </c>
      <c r="H111">
        <v>1080</v>
      </c>
      <c r="I111">
        <v>880</v>
      </c>
      <c r="J111">
        <v>950400</v>
      </c>
      <c r="K111">
        <v>332640</v>
      </c>
      <c r="L111" s="2">
        <v>0.35</v>
      </c>
      <c r="M111" t="s">
        <v>27</v>
      </c>
    </row>
    <row r="112" spans="1:13" x14ac:dyDescent="0.25">
      <c r="A112" t="s">
        <v>28</v>
      </c>
      <c r="B112">
        <v>2025003</v>
      </c>
      <c r="C112" s="7">
        <v>45555</v>
      </c>
      <c r="D112" t="s">
        <v>14</v>
      </c>
      <c r="E112" t="s">
        <v>29</v>
      </c>
      <c r="F112" t="s">
        <v>30</v>
      </c>
      <c r="G112" t="s">
        <v>17</v>
      </c>
      <c r="H112">
        <v>1380</v>
      </c>
      <c r="I112">
        <v>580</v>
      </c>
      <c r="J112">
        <v>800400</v>
      </c>
      <c r="K112">
        <v>400200</v>
      </c>
      <c r="L112" s="2">
        <v>0.5</v>
      </c>
      <c r="M112" t="s">
        <v>31</v>
      </c>
    </row>
    <row r="113" spans="1:13" x14ac:dyDescent="0.25">
      <c r="A113" t="s">
        <v>28</v>
      </c>
      <c r="B113">
        <v>2025003</v>
      </c>
      <c r="C113" s="7">
        <v>45556</v>
      </c>
      <c r="D113" t="s">
        <v>14</v>
      </c>
      <c r="E113" t="s">
        <v>29</v>
      </c>
      <c r="F113" t="s">
        <v>30</v>
      </c>
      <c r="G113" t="s">
        <v>19</v>
      </c>
      <c r="H113">
        <v>1280</v>
      </c>
      <c r="I113">
        <v>540</v>
      </c>
      <c r="J113">
        <v>691200</v>
      </c>
      <c r="K113">
        <v>207360</v>
      </c>
      <c r="L113" s="2">
        <v>0.3</v>
      </c>
      <c r="M113" t="s">
        <v>31</v>
      </c>
    </row>
    <row r="114" spans="1:13" x14ac:dyDescent="0.25">
      <c r="A114" t="s">
        <v>28</v>
      </c>
      <c r="B114">
        <v>2025003</v>
      </c>
      <c r="C114" s="7">
        <v>45557</v>
      </c>
      <c r="D114" t="s">
        <v>14</v>
      </c>
      <c r="E114" t="s">
        <v>29</v>
      </c>
      <c r="F114" t="s">
        <v>30</v>
      </c>
      <c r="G114" t="s">
        <v>20</v>
      </c>
      <c r="H114">
        <v>1150</v>
      </c>
      <c r="I114">
        <v>570</v>
      </c>
      <c r="J114">
        <v>655500</v>
      </c>
      <c r="K114">
        <v>229425</v>
      </c>
      <c r="L114" s="2">
        <v>0.35</v>
      </c>
      <c r="M114" t="s">
        <v>31</v>
      </c>
    </row>
    <row r="115" spans="1:13" x14ac:dyDescent="0.25">
      <c r="A115" t="s">
        <v>28</v>
      </c>
      <c r="B115">
        <v>2025003</v>
      </c>
      <c r="C115" s="7">
        <v>45558</v>
      </c>
      <c r="D115" t="s">
        <v>14</v>
      </c>
      <c r="E115" t="s">
        <v>29</v>
      </c>
      <c r="F115" t="s">
        <v>30</v>
      </c>
      <c r="G115" t="s">
        <v>21</v>
      </c>
      <c r="H115">
        <v>1190</v>
      </c>
      <c r="I115">
        <v>520</v>
      </c>
      <c r="J115">
        <v>618800</v>
      </c>
      <c r="K115">
        <v>216580</v>
      </c>
      <c r="L115" s="2">
        <v>0.35</v>
      </c>
      <c r="M115" t="s">
        <v>31</v>
      </c>
    </row>
    <row r="116" spans="1:13" x14ac:dyDescent="0.25">
      <c r="A116" t="s">
        <v>32</v>
      </c>
      <c r="B116">
        <v>2025004</v>
      </c>
      <c r="C116" s="7">
        <v>45570</v>
      </c>
      <c r="D116" t="s">
        <v>14</v>
      </c>
      <c r="E116" t="s">
        <v>33</v>
      </c>
      <c r="F116" t="s">
        <v>34</v>
      </c>
      <c r="G116" t="s">
        <v>17</v>
      </c>
      <c r="H116">
        <v>540</v>
      </c>
      <c r="I116">
        <v>390</v>
      </c>
      <c r="J116">
        <v>210600</v>
      </c>
      <c r="K116">
        <v>105300</v>
      </c>
      <c r="L116" s="2">
        <v>0.5</v>
      </c>
      <c r="M116" t="s">
        <v>27</v>
      </c>
    </row>
    <row r="117" spans="1:13" x14ac:dyDescent="0.25">
      <c r="A117" t="s">
        <v>32</v>
      </c>
      <c r="B117">
        <v>2025004</v>
      </c>
      <c r="C117" s="7">
        <v>45571</v>
      </c>
      <c r="D117" t="s">
        <v>14</v>
      </c>
      <c r="E117" t="s">
        <v>33</v>
      </c>
      <c r="F117" t="s">
        <v>34</v>
      </c>
      <c r="G117" t="s">
        <v>19</v>
      </c>
      <c r="H117">
        <v>510</v>
      </c>
      <c r="I117">
        <v>360</v>
      </c>
      <c r="J117">
        <v>183600</v>
      </c>
      <c r="K117">
        <v>82620</v>
      </c>
      <c r="L117" s="2">
        <v>0.45</v>
      </c>
      <c r="M117" t="s">
        <v>27</v>
      </c>
    </row>
    <row r="118" spans="1:13" x14ac:dyDescent="0.25">
      <c r="A118" t="s">
        <v>32</v>
      </c>
      <c r="B118">
        <v>2025004</v>
      </c>
      <c r="C118" s="7">
        <v>45572</v>
      </c>
      <c r="D118" t="s">
        <v>14</v>
      </c>
      <c r="E118" t="s">
        <v>33</v>
      </c>
      <c r="F118" t="s">
        <v>34</v>
      </c>
      <c r="G118" t="s">
        <v>20</v>
      </c>
      <c r="H118">
        <v>410</v>
      </c>
      <c r="I118">
        <v>330</v>
      </c>
      <c r="J118">
        <v>135300</v>
      </c>
      <c r="K118">
        <v>74355</v>
      </c>
      <c r="L118" s="2">
        <v>0.55000000000000004</v>
      </c>
      <c r="M118" t="s">
        <v>27</v>
      </c>
    </row>
    <row r="119" spans="1:13" x14ac:dyDescent="0.25">
      <c r="A119" t="s">
        <v>32</v>
      </c>
      <c r="B119">
        <v>2025004</v>
      </c>
      <c r="C119" s="7">
        <v>45573</v>
      </c>
      <c r="D119" t="s">
        <v>14</v>
      </c>
      <c r="E119" t="s">
        <v>33</v>
      </c>
      <c r="F119" t="s">
        <v>34</v>
      </c>
      <c r="G119" t="s">
        <v>21</v>
      </c>
      <c r="H119">
        <v>450</v>
      </c>
      <c r="I119">
        <v>310</v>
      </c>
      <c r="J119">
        <v>139500</v>
      </c>
      <c r="K119">
        <v>83700</v>
      </c>
      <c r="L119" s="2">
        <v>0.6</v>
      </c>
      <c r="M119" t="s">
        <v>27</v>
      </c>
    </row>
    <row r="120" spans="1:13" x14ac:dyDescent="0.25">
      <c r="A120" t="s">
        <v>35</v>
      </c>
      <c r="B120">
        <v>2025005</v>
      </c>
      <c r="C120" s="7">
        <v>45590</v>
      </c>
      <c r="D120" t="s">
        <v>14</v>
      </c>
      <c r="E120" t="s">
        <v>36</v>
      </c>
      <c r="F120" t="s">
        <v>37</v>
      </c>
      <c r="G120" t="s">
        <v>17</v>
      </c>
      <c r="H120">
        <v>980</v>
      </c>
      <c r="I120">
        <v>200</v>
      </c>
      <c r="J120">
        <v>196000</v>
      </c>
      <c r="K120">
        <v>78400</v>
      </c>
      <c r="L120" s="2">
        <v>0.4</v>
      </c>
      <c r="M120" t="s">
        <v>18</v>
      </c>
    </row>
    <row r="121" spans="1:13" x14ac:dyDescent="0.25">
      <c r="A121" t="s">
        <v>35</v>
      </c>
      <c r="B121">
        <v>2025005</v>
      </c>
      <c r="C121" s="7">
        <v>45591</v>
      </c>
      <c r="D121" t="s">
        <v>14</v>
      </c>
      <c r="E121" t="s">
        <v>36</v>
      </c>
      <c r="F121" t="s">
        <v>37</v>
      </c>
      <c r="G121" t="s">
        <v>19</v>
      </c>
      <c r="H121">
        <v>920</v>
      </c>
      <c r="I121">
        <v>170</v>
      </c>
      <c r="J121">
        <v>156400</v>
      </c>
      <c r="K121">
        <v>46920</v>
      </c>
      <c r="L121" s="2">
        <v>0.3</v>
      </c>
      <c r="M121" t="s">
        <v>18</v>
      </c>
    </row>
    <row r="122" spans="1:13" x14ac:dyDescent="0.25">
      <c r="A122" t="s">
        <v>35</v>
      </c>
      <c r="B122">
        <v>2025005</v>
      </c>
      <c r="C122" s="7">
        <v>45592</v>
      </c>
      <c r="D122" t="s">
        <v>14</v>
      </c>
      <c r="E122" t="s">
        <v>36</v>
      </c>
      <c r="F122" t="s">
        <v>37</v>
      </c>
      <c r="G122" t="s">
        <v>20</v>
      </c>
      <c r="H122">
        <v>810</v>
      </c>
      <c r="I122">
        <v>190</v>
      </c>
      <c r="J122">
        <v>153900</v>
      </c>
      <c r="K122">
        <v>53865</v>
      </c>
      <c r="L122" s="2">
        <v>0.35</v>
      </c>
      <c r="M122" t="s">
        <v>18</v>
      </c>
    </row>
    <row r="123" spans="1:13" x14ac:dyDescent="0.25">
      <c r="A123" t="s">
        <v>35</v>
      </c>
      <c r="B123">
        <v>2025005</v>
      </c>
      <c r="C123" s="7">
        <v>45593</v>
      </c>
      <c r="D123" t="s">
        <v>14</v>
      </c>
      <c r="E123" t="s">
        <v>36</v>
      </c>
      <c r="F123" t="s">
        <v>37</v>
      </c>
      <c r="G123" t="s">
        <v>21</v>
      </c>
      <c r="H123">
        <v>850</v>
      </c>
      <c r="I123">
        <v>180</v>
      </c>
      <c r="J123">
        <v>153000</v>
      </c>
      <c r="K123">
        <v>53550</v>
      </c>
      <c r="L123" s="2">
        <v>0.35</v>
      </c>
      <c r="M123" t="s">
        <v>18</v>
      </c>
    </row>
    <row r="124" spans="1:13" x14ac:dyDescent="0.25">
      <c r="A124" t="s">
        <v>38</v>
      </c>
      <c r="B124">
        <v>2025006</v>
      </c>
      <c r="C124" s="7">
        <v>45598</v>
      </c>
      <c r="D124" t="s">
        <v>14</v>
      </c>
      <c r="E124" t="s">
        <v>39</v>
      </c>
      <c r="F124" t="s">
        <v>40</v>
      </c>
      <c r="G124" t="s">
        <v>17</v>
      </c>
      <c r="H124">
        <v>1150</v>
      </c>
      <c r="I124">
        <v>290</v>
      </c>
      <c r="J124">
        <v>333500</v>
      </c>
      <c r="K124">
        <v>166750</v>
      </c>
      <c r="L124" s="2">
        <v>0.5</v>
      </c>
      <c r="M124" t="s">
        <v>31</v>
      </c>
    </row>
    <row r="125" spans="1:13" x14ac:dyDescent="0.25">
      <c r="A125" t="s">
        <v>38</v>
      </c>
      <c r="B125">
        <v>2025006</v>
      </c>
      <c r="C125" s="7">
        <v>45599</v>
      </c>
      <c r="D125" t="s">
        <v>14</v>
      </c>
      <c r="E125" t="s">
        <v>39</v>
      </c>
      <c r="F125" t="s">
        <v>40</v>
      </c>
      <c r="G125" t="s">
        <v>19</v>
      </c>
      <c r="H125">
        <v>1100</v>
      </c>
      <c r="I125">
        <v>270</v>
      </c>
      <c r="J125">
        <v>297000</v>
      </c>
      <c r="K125">
        <v>148500</v>
      </c>
      <c r="L125" s="2">
        <v>0.5</v>
      </c>
      <c r="M125" t="s">
        <v>31</v>
      </c>
    </row>
    <row r="126" spans="1:13" x14ac:dyDescent="0.25">
      <c r="A126" t="s">
        <v>38</v>
      </c>
      <c r="B126">
        <v>2025006</v>
      </c>
      <c r="C126" s="7">
        <v>45600</v>
      </c>
      <c r="D126" t="s">
        <v>14</v>
      </c>
      <c r="E126" t="s">
        <v>39</v>
      </c>
      <c r="F126" t="s">
        <v>40</v>
      </c>
      <c r="G126" t="s">
        <v>20</v>
      </c>
      <c r="H126">
        <v>1020</v>
      </c>
      <c r="I126">
        <v>250</v>
      </c>
      <c r="J126">
        <v>255000</v>
      </c>
      <c r="K126">
        <v>137700</v>
      </c>
      <c r="L126" s="2">
        <v>0.54</v>
      </c>
      <c r="M126" t="s">
        <v>31</v>
      </c>
    </row>
    <row r="127" spans="1:13" x14ac:dyDescent="0.25">
      <c r="A127" t="s">
        <v>38</v>
      </c>
      <c r="B127">
        <v>2025006</v>
      </c>
      <c r="C127" s="7">
        <v>45601</v>
      </c>
      <c r="D127" t="s">
        <v>14</v>
      </c>
      <c r="E127" t="s">
        <v>39</v>
      </c>
      <c r="F127" t="s">
        <v>40</v>
      </c>
      <c r="G127" t="s">
        <v>21</v>
      </c>
      <c r="H127">
        <v>1070</v>
      </c>
      <c r="I127">
        <v>240</v>
      </c>
      <c r="J127">
        <v>256800</v>
      </c>
      <c r="K127">
        <v>154080</v>
      </c>
      <c r="L127" s="2">
        <v>0.6</v>
      </c>
      <c r="M127" t="s">
        <v>31</v>
      </c>
    </row>
    <row r="128" spans="1:13" x14ac:dyDescent="0.25">
      <c r="A128" t="s">
        <v>41</v>
      </c>
      <c r="B128">
        <v>2025007</v>
      </c>
      <c r="C128" s="7">
        <v>45461</v>
      </c>
      <c r="D128" t="s">
        <v>14</v>
      </c>
      <c r="E128" t="s">
        <v>42</v>
      </c>
      <c r="F128" t="s">
        <v>43</v>
      </c>
      <c r="G128" t="s">
        <v>22</v>
      </c>
      <c r="H128">
        <v>880</v>
      </c>
      <c r="I128">
        <v>170</v>
      </c>
      <c r="J128">
        <v>149600</v>
      </c>
      <c r="K128">
        <v>37400</v>
      </c>
      <c r="L128" s="2">
        <v>0.25</v>
      </c>
      <c r="M128" t="s">
        <v>18</v>
      </c>
    </row>
    <row r="129" spans="1:13" x14ac:dyDescent="0.25">
      <c r="A129" t="s">
        <v>41</v>
      </c>
      <c r="B129">
        <v>2025007</v>
      </c>
      <c r="C129" s="7">
        <v>45462</v>
      </c>
      <c r="D129" t="s">
        <v>14</v>
      </c>
      <c r="E129" t="s">
        <v>42</v>
      </c>
      <c r="F129" t="s">
        <v>43</v>
      </c>
      <c r="G129" t="s">
        <v>23</v>
      </c>
      <c r="H129">
        <v>910</v>
      </c>
      <c r="I129">
        <v>190</v>
      </c>
      <c r="J129">
        <v>172900</v>
      </c>
      <c r="K129">
        <v>25935</v>
      </c>
      <c r="L129" s="2">
        <v>0.15</v>
      </c>
      <c r="M129" t="s">
        <v>18</v>
      </c>
    </row>
    <row r="130" spans="1:13" x14ac:dyDescent="0.25">
      <c r="A130" t="s">
        <v>41</v>
      </c>
      <c r="B130">
        <v>2025007</v>
      </c>
      <c r="C130" s="7">
        <v>45463</v>
      </c>
      <c r="D130" t="s">
        <v>14</v>
      </c>
      <c r="E130" t="s">
        <v>42</v>
      </c>
      <c r="F130" t="s">
        <v>43</v>
      </c>
      <c r="G130" t="s">
        <v>17</v>
      </c>
      <c r="H130">
        <v>750</v>
      </c>
      <c r="I130">
        <v>210</v>
      </c>
      <c r="J130">
        <v>157500</v>
      </c>
      <c r="K130">
        <v>78750</v>
      </c>
      <c r="L130" s="2">
        <v>0.5</v>
      </c>
      <c r="M130" t="s">
        <v>18</v>
      </c>
    </row>
    <row r="131" spans="1:13" x14ac:dyDescent="0.25">
      <c r="A131" t="s">
        <v>41</v>
      </c>
      <c r="B131">
        <v>2025007</v>
      </c>
      <c r="C131" s="7">
        <v>45464</v>
      </c>
      <c r="D131" t="s">
        <v>14</v>
      </c>
      <c r="E131" t="s">
        <v>42</v>
      </c>
      <c r="F131" t="s">
        <v>43</v>
      </c>
      <c r="G131" t="s">
        <v>19</v>
      </c>
      <c r="H131">
        <v>790</v>
      </c>
      <c r="I131">
        <v>190</v>
      </c>
      <c r="J131">
        <v>150100</v>
      </c>
      <c r="K131">
        <v>60040</v>
      </c>
      <c r="L131" s="2">
        <v>0.4</v>
      </c>
      <c r="M131" t="s">
        <v>18</v>
      </c>
    </row>
    <row r="132" spans="1:13" x14ac:dyDescent="0.25">
      <c r="A132" t="s">
        <v>44</v>
      </c>
      <c r="B132">
        <v>2025008</v>
      </c>
      <c r="C132" s="7">
        <v>45482</v>
      </c>
      <c r="D132" t="s">
        <v>14</v>
      </c>
      <c r="E132" t="s">
        <v>45</v>
      </c>
      <c r="F132" t="s">
        <v>46</v>
      </c>
      <c r="G132" t="s">
        <v>20</v>
      </c>
      <c r="H132">
        <v>450</v>
      </c>
      <c r="I132">
        <v>180</v>
      </c>
      <c r="J132">
        <v>81000</v>
      </c>
      <c r="K132">
        <v>40500</v>
      </c>
      <c r="L132" s="2">
        <v>0.5</v>
      </c>
      <c r="M132" t="s">
        <v>27</v>
      </c>
    </row>
    <row r="133" spans="1:13" x14ac:dyDescent="0.25">
      <c r="A133" t="s">
        <v>44</v>
      </c>
      <c r="B133">
        <v>2025008</v>
      </c>
      <c r="C133" s="7">
        <v>45483</v>
      </c>
      <c r="D133" t="s">
        <v>14</v>
      </c>
      <c r="E133" t="s">
        <v>45</v>
      </c>
      <c r="F133" t="s">
        <v>46</v>
      </c>
      <c r="G133" t="s">
        <v>21</v>
      </c>
      <c r="H133">
        <v>480</v>
      </c>
      <c r="I133">
        <v>160</v>
      </c>
      <c r="J133">
        <v>76800</v>
      </c>
      <c r="K133">
        <v>46080</v>
      </c>
      <c r="L133" s="2">
        <v>0.6</v>
      </c>
      <c r="M133" t="s">
        <v>27</v>
      </c>
    </row>
    <row r="134" spans="1:13" x14ac:dyDescent="0.25">
      <c r="A134" t="s">
        <v>44</v>
      </c>
      <c r="B134">
        <v>2025008</v>
      </c>
      <c r="C134" s="7">
        <v>45484</v>
      </c>
      <c r="D134" t="s">
        <v>14</v>
      </c>
      <c r="E134" t="s">
        <v>45</v>
      </c>
      <c r="F134" t="s">
        <v>46</v>
      </c>
      <c r="G134" t="s">
        <v>22</v>
      </c>
      <c r="H134">
        <v>550</v>
      </c>
      <c r="I134">
        <v>140</v>
      </c>
      <c r="J134">
        <v>77000</v>
      </c>
      <c r="K134">
        <v>37730</v>
      </c>
      <c r="L134" s="2">
        <v>0.49</v>
      </c>
      <c r="M134" t="s">
        <v>27</v>
      </c>
    </row>
    <row r="135" spans="1:13" x14ac:dyDescent="0.25">
      <c r="A135" t="s">
        <v>44</v>
      </c>
      <c r="B135">
        <v>2025008</v>
      </c>
      <c r="C135" s="7">
        <v>45485</v>
      </c>
      <c r="D135" t="s">
        <v>14</v>
      </c>
      <c r="E135" t="s">
        <v>45</v>
      </c>
      <c r="F135" t="s">
        <v>46</v>
      </c>
      <c r="G135" t="s">
        <v>23</v>
      </c>
      <c r="H135">
        <v>520</v>
      </c>
      <c r="I135">
        <v>150</v>
      </c>
      <c r="J135">
        <v>78000</v>
      </c>
      <c r="K135">
        <v>54600</v>
      </c>
      <c r="L135" s="2">
        <v>0.7</v>
      </c>
      <c r="M135" t="s">
        <v>27</v>
      </c>
    </row>
    <row r="136" spans="1:13" x14ac:dyDescent="0.25">
      <c r="A136" t="s">
        <v>47</v>
      </c>
      <c r="B136">
        <v>2025009</v>
      </c>
      <c r="C136" s="7">
        <v>45518</v>
      </c>
      <c r="D136" t="s">
        <v>14</v>
      </c>
      <c r="E136" t="s">
        <v>48</v>
      </c>
      <c r="F136" t="s">
        <v>49</v>
      </c>
      <c r="G136" t="s">
        <v>17</v>
      </c>
      <c r="H136">
        <v>640</v>
      </c>
      <c r="I136">
        <v>110</v>
      </c>
      <c r="J136">
        <v>70400</v>
      </c>
      <c r="K136">
        <v>35904</v>
      </c>
      <c r="L136" s="2">
        <v>0.51</v>
      </c>
      <c r="M136" t="s">
        <v>31</v>
      </c>
    </row>
    <row r="137" spans="1:13" x14ac:dyDescent="0.25">
      <c r="A137" t="s">
        <v>47</v>
      </c>
      <c r="B137">
        <v>2025009</v>
      </c>
      <c r="C137" s="7">
        <v>45519</v>
      </c>
      <c r="D137" t="s">
        <v>14</v>
      </c>
      <c r="E137" t="s">
        <v>48</v>
      </c>
      <c r="F137" t="s">
        <v>49</v>
      </c>
      <c r="G137" t="s">
        <v>19</v>
      </c>
      <c r="H137">
        <v>610</v>
      </c>
      <c r="I137">
        <v>100</v>
      </c>
      <c r="J137">
        <v>61000</v>
      </c>
      <c r="K137">
        <v>29280</v>
      </c>
      <c r="L137" s="2">
        <v>0.48</v>
      </c>
      <c r="M137" t="s">
        <v>31</v>
      </c>
    </row>
    <row r="138" spans="1:13" x14ac:dyDescent="0.25">
      <c r="A138" t="s">
        <v>47</v>
      </c>
      <c r="B138">
        <v>2025009</v>
      </c>
      <c r="C138" s="7">
        <v>45520</v>
      </c>
      <c r="D138" t="s">
        <v>14</v>
      </c>
      <c r="E138" t="s">
        <v>48</v>
      </c>
      <c r="F138" t="s">
        <v>49</v>
      </c>
      <c r="G138" t="s">
        <v>20</v>
      </c>
      <c r="H138">
        <v>520</v>
      </c>
      <c r="I138">
        <v>95</v>
      </c>
      <c r="J138">
        <v>49400</v>
      </c>
      <c r="K138">
        <v>27170</v>
      </c>
      <c r="L138" s="2">
        <v>0.55000000000000004</v>
      </c>
      <c r="M138" t="s">
        <v>31</v>
      </c>
    </row>
    <row r="139" spans="1:13" x14ac:dyDescent="0.25">
      <c r="A139" t="s">
        <v>47</v>
      </c>
      <c r="B139">
        <v>2025009</v>
      </c>
      <c r="C139" s="7">
        <v>45521</v>
      </c>
      <c r="D139" t="s">
        <v>14</v>
      </c>
      <c r="E139" t="s">
        <v>48</v>
      </c>
      <c r="F139" t="s">
        <v>49</v>
      </c>
      <c r="G139" t="s">
        <v>21</v>
      </c>
      <c r="H139">
        <v>550</v>
      </c>
      <c r="I139">
        <v>85</v>
      </c>
      <c r="J139">
        <v>46750</v>
      </c>
      <c r="K139">
        <v>31790</v>
      </c>
      <c r="L139" s="2">
        <v>0.68</v>
      </c>
      <c r="M139" t="s">
        <v>31</v>
      </c>
    </row>
    <row r="140" spans="1:13" x14ac:dyDescent="0.25">
      <c r="A140" t="s">
        <v>50</v>
      </c>
      <c r="B140">
        <v>2025010</v>
      </c>
      <c r="C140" s="7">
        <v>45538</v>
      </c>
      <c r="D140" t="s">
        <v>14</v>
      </c>
      <c r="E140" t="s">
        <v>15</v>
      </c>
      <c r="F140" t="s">
        <v>51</v>
      </c>
      <c r="G140" t="s">
        <v>17</v>
      </c>
      <c r="H140">
        <v>710</v>
      </c>
      <c r="I140">
        <v>320</v>
      </c>
      <c r="J140">
        <v>227200</v>
      </c>
      <c r="K140">
        <v>113600</v>
      </c>
      <c r="L140" s="2">
        <v>0.5</v>
      </c>
      <c r="M140" t="s">
        <v>18</v>
      </c>
    </row>
    <row r="141" spans="1:13" x14ac:dyDescent="0.25">
      <c r="A141" t="s">
        <v>50</v>
      </c>
      <c r="B141">
        <v>2025010</v>
      </c>
      <c r="C141" s="7">
        <v>45539</v>
      </c>
      <c r="D141" t="s">
        <v>14</v>
      </c>
      <c r="E141" t="s">
        <v>15</v>
      </c>
      <c r="F141" t="s">
        <v>51</v>
      </c>
      <c r="G141" t="s">
        <v>19</v>
      </c>
      <c r="H141">
        <v>680</v>
      </c>
      <c r="I141">
        <v>290</v>
      </c>
      <c r="J141">
        <v>197200</v>
      </c>
      <c r="K141">
        <v>59160</v>
      </c>
      <c r="L141" s="2">
        <v>0.3</v>
      </c>
      <c r="M141" t="s">
        <v>18</v>
      </c>
    </row>
    <row r="142" spans="1:13" x14ac:dyDescent="0.25">
      <c r="A142" t="s">
        <v>50</v>
      </c>
      <c r="B142">
        <v>2025010</v>
      </c>
      <c r="C142" s="7">
        <v>45540</v>
      </c>
      <c r="D142" t="s">
        <v>14</v>
      </c>
      <c r="E142" t="s">
        <v>15</v>
      </c>
      <c r="F142" t="s">
        <v>51</v>
      </c>
      <c r="G142" t="s">
        <v>20</v>
      </c>
      <c r="H142">
        <v>620</v>
      </c>
      <c r="I142">
        <v>310</v>
      </c>
      <c r="J142">
        <v>192200</v>
      </c>
      <c r="K142">
        <v>67270</v>
      </c>
      <c r="L142" s="2">
        <v>0.35</v>
      </c>
      <c r="M142" t="s">
        <v>18</v>
      </c>
    </row>
    <row r="143" spans="1:13" x14ac:dyDescent="0.25">
      <c r="A143" t="s">
        <v>50</v>
      </c>
      <c r="B143">
        <v>2025010</v>
      </c>
      <c r="C143" s="7">
        <v>45541</v>
      </c>
      <c r="D143" t="s">
        <v>14</v>
      </c>
      <c r="E143" t="s">
        <v>15</v>
      </c>
      <c r="F143" t="s">
        <v>51</v>
      </c>
      <c r="G143" t="s">
        <v>21</v>
      </c>
      <c r="H143">
        <v>640</v>
      </c>
      <c r="I143">
        <v>280</v>
      </c>
      <c r="J143">
        <v>179200</v>
      </c>
      <c r="K143">
        <v>62720</v>
      </c>
      <c r="L143" s="2">
        <v>0.35</v>
      </c>
      <c r="M143" t="s">
        <v>18</v>
      </c>
    </row>
    <row r="144" spans="1:13" x14ac:dyDescent="0.25">
      <c r="A144" t="s">
        <v>13</v>
      </c>
      <c r="B144">
        <v>2025001</v>
      </c>
      <c r="C144" s="7">
        <v>45576</v>
      </c>
      <c r="D144" t="s">
        <v>14</v>
      </c>
      <c r="E144" t="s">
        <v>25</v>
      </c>
      <c r="F144" t="s">
        <v>26</v>
      </c>
      <c r="G144" t="s">
        <v>17</v>
      </c>
      <c r="H144">
        <v>1180</v>
      </c>
      <c r="I144">
        <v>470</v>
      </c>
      <c r="J144">
        <v>554600</v>
      </c>
      <c r="K144">
        <v>277300</v>
      </c>
      <c r="L144" s="2">
        <v>0.5</v>
      </c>
      <c r="M144" t="s">
        <v>18</v>
      </c>
    </row>
    <row r="145" spans="1:13" x14ac:dyDescent="0.25">
      <c r="A145" t="s">
        <v>13</v>
      </c>
      <c r="B145">
        <v>2025001</v>
      </c>
      <c r="C145" s="7">
        <v>45577</v>
      </c>
      <c r="D145" t="s">
        <v>14</v>
      </c>
      <c r="E145" t="s">
        <v>25</v>
      </c>
      <c r="F145" t="s">
        <v>26</v>
      </c>
      <c r="G145" t="s">
        <v>19</v>
      </c>
      <c r="H145">
        <v>1120</v>
      </c>
      <c r="I145">
        <v>450</v>
      </c>
      <c r="J145">
        <v>504000</v>
      </c>
      <c r="K145">
        <v>151200</v>
      </c>
      <c r="L145" s="2">
        <v>0.3</v>
      </c>
      <c r="M145" t="s">
        <v>18</v>
      </c>
    </row>
    <row r="146" spans="1:13" x14ac:dyDescent="0.25">
      <c r="A146" t="s">
        <v>13</v>
      </c>
      <c r="B146">
        <v>2025001</v>
      </c>
      <c r="C146" s="7">
        <v>45578</v>
      </c>
      <c r="D146" t="s">
        <v>14</v>
      </c>
      <c r="E146" t="s">
        <v>25</v>
      </c>
      <c r="F146" t="s">
        <v>26</v>
      </c>
      <c r="G146" t="s">
        <v>20</v>
      </c>
      <c r="H146">
        <v>980</v>
      </c>
      <c r="I146">
        <v>490</v>
      </c>
      <c r="J146">
        <v>480200</v>
      </c>
      <c r="K146">
        <v>168070</v>
      </c>
      <c r="L146" s="2">
        <v>0.35</v>
      </c>
      <c r="M146" t="s">
        <v>18</v>
      </c>
    </row>
    <row r="147" spans="1:13" x14ac:dyDescent="0.25">
      <c r="A147" t="s">
        <v>13</v>
      </c>
      <c r="B147">
        <v>2025001</v>
      </c>
      <c r="C147" s="7">
        <v>45579</v>
      </c>
      <c r="D147" t="s">
        <v>14</v>
      </c>
      <c r="E147" t="s">
        <v>25</v>
      </c>
      <c r="F147" t="s">
        <v>26</v>
      </c>
      <c r="G147" t="s">
        <v>21</v>
      </c>
      <c r="H147">
        <v>1050</v>
      </c>
      <c r="I147">
        <v>460</v>
      </c>
      <c r="J147">
        <v>483000</v>
      </c>
      <c r="K147">
        <v>169050</v>
      </c>
      <c r="L147" s="2">
        <v>0.35</v>
      </c>
      <c r="M147" t="s">
        <v>18</v>
      </c>
    </row>
    <row r="148" spans="1:13" x14ac:dyDescent="0.25">
      <c r="A148" t="s">
        <v>24</v>
      </c>
      <c r="B148">
        <v>2025002</v>
      </c>
      <c r="C148" s="7">
        <v>45597</v>
      </c>
      <c r="D148" t="s">
        <v>14</v>
      </c>
      <c r="E148" t="s">
        <v>29</v>
      </c>
      <c r="F148" t="s">
        <v>30</v>
      </c>
      <c r="G148" t="s">
        <v>22</v>
      </c>
      <c r="H148">
        <v>850</v>
      </c>
      <c r="I148">
        <v>250</v>
      </c>
      <c r="J148">
        <v>212500</v>
      </c>
      <c r="K148">
        <v>95625</v>
      </c>
      <c r="L148" s="2">
        <v>0.45</v>
      </c>
      <c r="M148" t="s">
        <v>27</v>
      </c>
    </row>
    <row r="149" spans="1:13" x14ac:dyDescent="0.25">
      <c r="A149" t="s">
        <v>24</v>
      </c>
      <c r="B149">
        <v>2025002</v>
      </c>
      <c r="C149" s="7">
        <v>45598</v>
      </c>
      <c r="D149" t="s">
        <v>14</v>
      </c>
      <c r="E149" t="s">
        <v>29</v>
      </c>
      <c r="F149" t="s">
        <v>30</v>
      </c>
      <c r="G149" t="s">
        <v>23</v>
      </c>
      <c r="H149">
        <v>820</v>
      </c>
      <c r="I149">
        <v>290</v>
      </c>
      <c r="J149">
        <v>237800</v>
      </c>
      <c r="K149">
        <v>166460</v>
      </c>
      <c r="L149" s="2">
        <v>0.7</v>
      </c>
      <c r="M149" t="s">
        <v>27</v>
      </c>
    </row>
    <row r="150" spans="1:13" x14ac:dyDescent="0.25">
      <c r="A150" t="s">
        <v>28</v>
      </c>
      <c r="B150">
        <v>2025003</v>
      </c>
      <c r="C150" s="7">
        <v>45471</v>
      </c>
      <c r="D150" t="s">
        <v>14</v>
      </c>
      <c r="E150" t="s">
        <v>33</v>
      </c>
      <c r="F150" t="s">
        <v>52</v>
      </c>
      <c r="G150" t="s">
        <v>17</v>
      </c>
      <c r="H150">
        <v>1320</v>
      </c>
      <c r="I150">
        <v>180</v>
      </c>
      <c r="J150">
        <v>237600</v>
      </c>
      <c r="K150">
        <v>118800</v>
      </c>
      <c r="L150" s="2">
        <v>0.5</v>
      </c>
      <c r="M150" t="s">
        <v>31</v>
      </c>
    </row>
    <row r="151" spans="1:13" x14ac:dyDescent="0.25">
      <c r="A151" t="s">
        <v>28</v>
      </c>
      <c r="B151">
        <v>2025003</v>
      </c>
      <c r="C151" s="7">
        <v>45472</v>
      </c>
      <c r="D151" t="s">
        <v>14</v>
      </c>
      <c r="E151" t="s">
        <v>33</v>
      </c>
      <c r="F151" t="s">
        <v>52</v>
      </c>
      <c r="G151" t="s">
        <v>21</v>
      </c>
      <c r="H151">
        <v>1220</v>
      </c>
      <c r="I151">
        <v>160</v>
      </c>
      <c r="J151">
        <v>195200</v>
      </c>
      <c r="K151">
        <v>97600</v>
      </c>
      <c r="L151" s="2">
        <v>0.5</v>
      </c>
      <c r="M151" t="s">
        <v>31</v>
      </c>
    </row>
    <row r="152" spans="1:13" x14ac:dyDescent="0.25">
      <c r="A152" t="s">
        <v>32</v>
      </c>
      <c r="B152">
        <v>2025004</v>
      </c>
      <c r="C152" s="7">
        <v>45495</v>
      </c>
      <c r="D152" t="s">
        <v>14</v>
      </c>
      <c r="E152" t="s">
        <v>36</v>
      </c>
      <c r="F152" t="s">
        <v>53</v>
      </c>
      <c r="G152" t="s">
        <v>20</v>
      </c>
      <c r="H152">
        <v>360</v>
      </c>
      <c r="I152">
        <v>110</v>
      </c>
      <c r="J152">
        <v>39600</v>
      </c>
      <c r="K152">
        <v>21780</v>
      </c>
      <c r="L152" s="2">
        <v>0.55000000000000004</v>
      </c>
      <c r="M152" t="s">
        <v>27</v>
      </c>
    </row>
    <row r="153" spans="1:13" x14ac:dyDescent="0.25">
      <c r="A153" t="s">
        <v>38</v>
      </c>
      <c r="B153">
        <v>2025006</v>
      </c>
      <c r="C153" s="7">
        <v>45516</v>
      </c>
      <c r="D153" t="s">
        <v>14</v>
      </c>
      <c r="E153" t="s">
        <v>39</v>
      </c>
      <c r="F153" t="s">
        <v>54</v>
      </c>
      <c r="G153" t="s">
        <v>19</v>
      </c>
      <c r="H153">
        <v>1020</v>
      </c>
      <c r="I153">
        <v>130</v>
      </c>
      <c r="J153">
        <v>132600</v>
      </c>
      <c r="K153">
        <v>66300</v>
      </c>
      <c r="L153" s="2">
        <v>0.5</v>
      </c>
      <c r="M153" t="s">
        <v>31</v>
      </c>
    </row>
    <row r="154" spans="1:13" x14ac:dyDescent="0.25">
      <c r="A154" t="s">
        <v>41</v>
      </c>
      <c r="B154">
        <v>2025007</v>
      </c>
      <c r="C154" s="7">
        <v>45540</v>
      </c>
      <c r="D154" t="s">
        <v>14</v>
      </c>
      <c r="E154" t="s">
        <v>42</v>
      </c>
      <c r="F154" t="s">
        <v>55</v>
      </c>
      <c r="G154" t="s">
        <v>23</v>
      </c>
      <c r="H154">
        <v>590</v>
      </c>
      <c r="I154">
        <v>90</v>
      </c>
      <c r="J154">
        <v>53100</v>
      </c>
      <c r="K154">
        <v>15930</v>
      </c>
      <c r="L154" s="2">
        <v>0.3</v>
      </c>
      <c r="M154" t="s">
        <v>18</v>
      </c>
    </row>
    <row r="155" spans="1:13" x14ac:dyDescent="0.25">
      <c r="A155" t="s">
        <v>44</v>
      </c>
      <c r="B155">
        <v>2025008</v>
      </c>
      <c r="C155" s="7">
        <v>45583</v>
      </c>
      <c r="D155" t="s">
        <v>14</v>
      </c>
      <c r="E155" t="s">
        <v>45</v>
      </c>
      <c r="F155" t="s">
        <v>56</v>
      </c>
      <c r="G155" t="s">
        <v>17</v>
      </c>
      <c r="H155">
        <v>420</v>
      </c>
      <c r="I155">
        <v>120</v>
      </c>
      <c r="J155">
        <v>50400</v>
      </c>
      <c r="K155">
        <v>20160</v>
      </c>
      <c r="L155" s="2">
        <v>0.4</v>
      </c>
      <c r="M155" t="s">
        <v>27</v>
      </c>
    </row>
    <row r="156" spans="1:13" x14ac:dyDescent="0.25">
      <c r="A156" t="s">
        <v>47</v>
      </c>
      <c r="B156">
        <v>2025009</v>
      </c>
      <c r="C156" s="7">
        <v>45604</v>
      </c>
      <c r="D156" t="s">
        <v>14</v>
      </c>
      <c r="E156" t="s">
        <v>48</v>
      </c>
      <c r="F156" t="s">
        <v>57</v>
      </c>
      <c r="G156" t="s">
        <v>21</v>
      </c>
      <c r="H156">
        <v>510</v>
      </c>
      <c r="I156">
        <v>80</v>
      </c>
      <c r="J156">
        <v>40800</v>
      </c>
      <c r="K156">
        <v>28560</v>
      </c>
      <c r="L156" s="2">
        <v>0.7</v>
      </c>
      <c r="M156" t="s">
        <v>31</v>
      </c>
    </row>
    <row r="157" spans="1:13" x14ac:dyDescent="0.25">
      <c r="A157" t="s">
        <v>50</v>
      </c>
      <c r="B157">
        <v>2025010</v>
      </c>
      <c r="C157" s="7">
        <v>45570</v>
      </c>
      <c r="D157" t="s">
        <v>14</v>
      </c>
      <c r="E157" t="s">
        <v>15</v>
      </c>
      <c r="F157" t="s">
        <v>58</v>
      </c>
      <c r="G157" t="s">
        <v>22</v>
      </c>
      <c r="H157">
        <v>570</v>
      </c>
      <c r="I157">
        <v>200</v>
      </c>
      <c r="J157">
        <v>114000</v>
      </c>
      <c r="K157">
        <v>34200</v>
      </c>
      <c r="L157" s="2">
        <v>0.3</v>
      </c>
      <c r="M157" t="s">
        <v>18</v>
      </c>
    </row>
    <row r="158" spans="1:13" x14ac:dyDescent="0.25">
      <c r="A158" t="s">
        <v>13</v>
      </c>
      <c r="B158">
        <v>2025001</v>
      </c>
      <c r="C158" s="7">
        <v>45526</v>
      </c>
      <c r="D158" t="s">
        <v>14</v>
      </c>
      <c r="E158" t="s">
        <v>33</v>
      </c>
      <c r="F158" t="s">
        <v>59</v>
      </c>
      <c r="G158" t="s">
        <v>20</v>
      </c>
      <c r="H158">
        <v>640</v>
      </c>
      <c r="I158">
        <v>190</v>
      </c>
      <c r="J158">
        <v>121600</v>
      </c>
      <c r="K158">
        <v>42560</v>
      </c>
      <c r="L158" s="2">
        <v>0.35</v>
      </c>
      <c r="M158" t="s">
        <v>18</v>
      </c>
    </row>
    <row r="159" spans="1:13" x14ac:dyDescent="0.25">
      <c r="A159" t="s">
        <v>13</v>
      </c>
      <c r="B159">
        <v>2025001</v>
      </c>
      <c r="C159" s="7">
        <v>45527</v>
      </c>
      <c r="D159" t="s">
        <v>14</v>
      </c>
      <c r="E159" t="s">
        <v>33</v>
      </c>
      <c r="F159" t="s">
        <v>59</v>
      </c>
      <c r="G159" t="s">
        <v>21</v>
      </c>
      <c r="H159">
        <v>670</v>
      </c>
      <c r="I159">
        <v>180</v>
      </c>
      <c r="J159">
        <v>120600</v>
      </c>
      <c r="K159">
        <v>60300</v>
      </c>
      <c r="L159" s="2">
        <v>0.5</v>
      </c>
      <c r="M159" t="s">
        <v>18</v>
      </c>
    </row>
    <row r="160" spans="1:13" x14ac:dyDescent="0.25">
      <c r="A160" t="s">
        <v>24</v>
      </c>
      <c r="B160">
        <v>2025002</v>
      </c>
      <c r="C160" s="7">
        <v>45552</v>
      </c>
      <c r="D160" t="s">
        <v>14</v>
      </c>
      <c r="E160" t="s">
        <v>36</v>
      </c>
      <c r="F160" t="s">
        <v>37</v>
      </c>
      <c r="G160" t="s">
        <v>17</v>
      </c>
      <c r="H160">
        <v>550</v>
      </c>
      <c r="I160">
        <v>290</v>
      </c>
      <c r="J160">
        <v>159500</v>
      </c>
      <c r="K160">
        <v>79750</v>
      </c>
      <c r="L160" s="2">
        <v>0.5</v>
      </c>
      <c r="M160" t="s">
        <v>27</v>
      </c>
    </row>
    <row r="161" spans="1:13" x14ac:dyDescent="0.25">
      <c r="A161" t="s">
        <v>24</v>
      </c>
      <c r="B161">
        <v>2025002</v>
      </c>
      <c r="C161" s="7">
        <v>45553</v>
      </c>
      <c r="D161" t="s">
        <v>14</v>
      </c>
      <c r="E161" t="s">
        <v>36</v>
      </c>
      <c r="F161" t="s">
        <v>37</v>
      </c>
      <c r="G161" t="s">
        <v>19</v>
      </c>
      <c r="H161">
        <v>510</v>
      </c>
      <c r="I161">
        <v>270</v>
      </c>
      <c r="J161">
        <v>137700</v>
      </c>
      <c r="K161">
        <v>62055</v>
      </c>
      <c r="L161" s="2">
        <v>0.45</v>
      </c>
      <c r="M161" t="s">
        <v>27</v>
      </c>
    </row>
    <row r="162" spans="1:13" x14ac:dyDescent="0.25">
      <c r="A162" t="s">
        <v>28</v>
      </c>
      <c r="B162">
        <v>2025003</v>
      </c>
      <c r="C162" s="7">
        <v>45570</v>
      </c>
      <c r="D162" t="s">
        <v>14</v>
      </c>
      <c r="E162" t="s">
        <v>39</v>
      </c>
      <c r="F162" t="s">
        <v>60</v>
      </c>
      <c r="G162" t="s">
        <v>20</v>
      </c>
      <c r="H162">
        <v>1120</v>
      </c>
      <c r="I162">
        <v>170</v>
      </c>
      <c r="J162">
        <v>190400</v>
      </c>
      <c r="K162">
        <v>95200</v>
      </c>
      <c r="L162" s="2">
        <v>0.5</v>
      </c>
      <c r="M162" t="s">
        <v>31</v>
      </c>
    </row>
    <row r="163" spans="1:13" x14ac:dyDescent="0.25">
      <c r="A163" t="s">
        <v>28</v>
      </c>
      <c r="B163">
        <v>2025003</v>
      </c>
      <c r="C163" s="7">
        <v>45571</v>
      </c>
      <c r="D163" t="s">
        <v>14</v>
      </c>
      <c r="E163" t="s">
        <v>39</v>
      </c>
      <c r="F163" t="s">
        <v>60</v>
      </c>
      <c r="G163" t="s">
        <v>21</v>
      </c>
      <c r="H163">
        <v>1160</v>
      </c>
      <c r="I163">
        <v>160</v>
      </c>
      <c r="J163">
        <v>185600</v>
      </c>
      <c r="K163">
        <v>92800</v>
      </c>
      <c r="L163" s="2">
        <v>0.5</v>
      </c>
      <c r="M163" t="s">
        <v>31</v>
      </c>
    </row>
    <row r="164" spans="1:13" x14ac:dyDescent="0.25">
      <c r="A164" t="s">
        <v>32</v>
      </c>
      <c r="B164">
        <v>2025004</v>
      </c>
      <c r="C164" s="7">
        <v>45606</v>
      </c>
      <c r="D164" t="s">
        <v>14</v>
      </c>
      <c r="E164" t="s">
        <v>42</v>
      </c>
      <c r="F164" t="s">
        <v>61</v>
      </c>
      <c r="G164" t="s">
        <v>22</v>
      </c>
      <c r="H164">
        <v>450</v>
      </c>
      <c r="I164">
        <v>140</v>
      </c>
      <c r="J164">
        <v>63000</v>
      </c>
      <c r="K164">
        <v>34650</v>
      </c>
      <c r="L164" s="2">
        <v>0.55000000000000004</v>
      </c>
      <c r="M164" t="s">
        <v>27</v>
      </c>
    </row>
    <row r="165" spans="1:13" x14ac:dyDescent="0.25">
      <c r="A165" t="s">
        <v>32</v>
      </c>
      <c r="B165">
        <v>2025004</v>
      </c>
      <c r="C165" s="7">
        <v>45607</v>
      </c>
      <c r="D165" t="s">
        <v>14</v>
      </c>
      <c r="E165" t="s">
        <v>42</v>
      </c>
      <c r="F165" t="s">
        <v>61</v>
      </c>
      <c r="G165" t="s">
        <v>23</v>
      </c>
      <c r="H165">
        <v>480</v>
      </c>
      <c r="I165">
        <v>130</v>
      </c>
      <c r="J165">
        <v>62400</v>
      </c>
      <c r="K165">
        <v>46800</v>
      </c>
      <c r="L165" s="2">
        <v>0.75</v>
      </c>
      <c r="M165" t="s">
        <v>27</v>
      </c>
    </row>
    <row r="166" spans="1:13" x14ac:dyDescent="0.25">
      <c r="A166" t="s">
        <v>35</v>
      </c>
      <c r="B166">
        <v>2025005</v>
      </c>
      <c r="C166" s="7">
        <v>45555</v>
      </c>
      <c r="D166" t="s">
        <v>14</v>
      </c>
      <c r="E166" t="s">
        <v>45</v>
      </c>
      <c r="F166" t="s">
        <v>62</v>
      </c>
      <c r="G166" t="s">
        <v>17</v>
      </c>
      <c r="H166">
        <v>780</v>
      </c>
      <c r="I166">
        <v>120</v>
      </c>
      <c r="J166">
        <v>93600</v>
      </c>
      <c r="K166">
        <v>42120</v>
      </c>
      <c r="L166" s="2">
        <v>0.45</v>
      </c>
      <c r="M166" t="s">
        <v>18</v>
      </c>
    </row>
    <row r="167" spans="1:13" x14ac:dyDescent="0.25">
      <c r="A167" t="s">
        <v>35</v>
      </c>
      <c r="B167">
        <v>2025005</v>
      </c>
      <c r="C167" s="7">
        <v>45556</v>
      </c>
      <c r="D167" t="s">
        <v>14</v>
      </c>
      <c r="E167" t="s">
        <v>45</v>
      </c>
      <c r="F167" t="s">
        <v>62</v>
      </c>
      <c r="G167" t="s">
        <v>19</v>
      </c>
      <c r="H167">
        <v>820</v>
      </c>
      <c r="I167">
        <v>110</v>
      </c>
      <c r="J167">
        <v>90200</v>
      </c>
      <c r="K167">
        <v>38786</v>
      </c>
      <c r="L167" s="2">
        <v>0.43</v>
      </c>
      <c r="M167" t="s">
        <v>18</v>
      </c>
    </row>
    <row r="168" spans="1:13" x14ac:dyDescent="0.25">
      <c r="A168" t="s">
        <v>38</v>
      </c>
      <c r="B168">
        <v>2025006</v>
      </c>
      <c r="C168" s="7">
        <v>45593</v>
      </c>
      <c r="D168" t="s">
        <v>14</v>
      </c>
      <c r="E168" t="s">
        <v>48</v>
      </c>
      <c r="F168" t="s">
        <v>63</v>
      </c>
      <c r="G168" t="s">
        <v>20</v>
      </c>
      <c r="H168">
        <v>920</v>
      </c>
      <c r="I168">
        <v>85</v>
      </c>
      <c r="J168">
        <v>78200</v>
      </c>
      <c r="K168">
        <v>39100</v>
      </c>
      <c r="L168" s="2">
        <v>0.5</v>
      </c>
      <c r="M168" t="s">
        <v>31</v>
      </c>
    </row>
    <row r="169" spans="1:13" x14ac:dyDescent="0.25">
      <c r="A169" t="s">
        <v>38</v>
      </c>
      <c r="B169">
        <v>2025006</v>
      </c>
      <c r="C169" s="7">
        <v>45594</v>
      </c>
      <c r="D169" t="s">
        <v>14</v>
      </c>
      <c r="E169" t="s">
        <v>48</v>
      </c>
      <c r="F169" t="s">
        <v>63</v>
      </c>
      <c r="G169" t="s">
        <v>21</v>
      </c>
      <c r="H169">
        <v>960</v>
      </c>
      <c r="I169">
        <v>80</v>
      </c>
      <c r="J169">
        <v>76800</v>
      </c>
      <c r="K169">
        <v>49920</v>
      </c>
      <c r="L169" s="2">
        <v>0.65</v>
      </c>
      <c r="M169" t="s">
        <v>31</v>
      </c>
    </row>
    <row r="170" spans="1:13" x14ac:dyDescent="0.25">
      <c r="A170" t="s">
        <v>41</v>
      </c>
      <c r="B170">
        <v>2025007</v>
      </c>
      <c r="C170" s="7">
        <v>45337</v>
      </c>
      <c r="D170" t="s">
        <v>14</v>
      </c>
      <c r="E170" t="s">
        <v>15</v>
      </c>
      <c r="F170" t="s">
        <v>64</v>
      </c>
      <c r="G170" t="s">
        <v>17</v>
      </c>
      <c r="H170">
        <v>650</v>
      </c>
      <c r="I170">
        <v>210</v>
      </c>
      <c r="J170">
        <v>136500</v>
      </c>
      <c r="K170">
        <v>54600</v>
      </c>
      <c r="L170" s="2">
        <v>0.4</v>
      </c>
      <c r="M170" t="s">
        <v>18</v>
      </c>
    </row>
    <row r="171" spans="1:13" x14ac:dyDescent="0.25">
      <c r="A171" t="s">
        <v>41</v>
      </c>
      <c r="B171">
        <v>2025007</v>
      </c>
      <c r="C171" s="7">
        <v>45338</v>
      </c>
      <c r="D171" t="s">
        <v>14</v>
      </c>
      <c r="E171" t="s">
        <v>15</v>
      </c>
      <c r="F171" t="s">
        <v>64</v>
      </c>
      <c r="G171" t="s">
        <v>19</v>
      </c>
      <c r="H171">
        <v>690</v>
      </c>
      <c r="I171">
        <v>190</v>
      </c>
      <c r="J171">
        <v>131100</v>
      </c>
      <c r="K171">
        <v>39330</v>
      </c>
      <c r="L171" s="2">
        <v>0.3</v>
      </c>
      <c r="M171" t="s">
        <v>18</v>
      </c>
    </row>
    <row r="172" spans="1:13" x14ac:dyDescent="0.25">
      <c r="A172" t="s">
        <v>44</v>
      </c>
      <c r="B172">
        <v>2025008</v>
      </c>
      <c r="C172" s="7">
        <v>45373</v>
      </c>
      <c r="D172" t="s">
        <v>14</v>
      </c>
      <c r="E172" t="s">
        <v>25</v>
      </c>
      <c r="F172" t="s">
        <v>65</v>
      </c>
      <c r="G172" t="s">
        <v>20</v>
      </c>
      <c r="H172">
        <v>340</v>
      </c>
      <c r="I172">
        <v>170</v>
      </c>
      <c r="J172">
        <v>57800</v>
      </c>
      <c r="K172">
        <v>23120</v>
      </c>
      <c r="L172" s="2">
        <v>0.4</v>
      </c>
      <c r="M172" t="s">
        <v>27</v>
      </c>
    </row>
    <row r="173" spans="1:13" x14ac:dyDescent="0.25">
      <c r="A173" t="s">
        <v>44</v>
      </c>
      <c r="B173">
        <v>2025008</v>
      </c>
      <c r="C173" s="7">
        <v>45374</v>
      </c>
      <c r="D173" t="s">
        <v>14</v>
      </c>
      <c r="E173" t="s">
        <v>25</v>
      </c>
      <c r="F173" t="s">
        <v>65</v>
      </c>
      <c r="G173" t="s">
        <v>21</v>
      </c>
      <c r="H173">
        <v>360</v>
      </c>
      <c r="I173">
        <v>160</v>
      </c>
      <c r="J173">
        <v>57600</v>
      </c>
      <c r="K173">
        <v>34032</v>
      </c>
      <c r="L173" s="2">
        <v>0.59</v>
      </c>
      <c r="M173" t="s">
        <v>27</v>
      </c>
    </row>
    <row r="174" spans="1:13" x14ac:dyDescent="0.25">
      <c r="A174" t="s">
        <v>47</v>
      </c>
      <c r="B174">
        <v>2025009</v>
      </c>
      <c r="C174" s="7">
        <v>45410</v>
      </c>
      <c r="D174" t="s">
        <v>14</v>
      </c>
      <c r="E174" t="s">
        <v>29</v>
      </c>
      <c r="F174" t="s">
        <v>66</v>
      </c>
      <c r="G174" t="s">
        <v>22</v>
      </c>
      <c r="H174">
        <v>580</v>
      </c>
      <c r="I174">
        <v>180</v>
      </c>
      <c r="J174">
        <v>104400</v>
      </c>
      <c r="K174">
        <v>20880</v>
      </c>
      <c r="L174" s="2">
        <v>0.2</v>
      </c>
      <c r="M174" t="s">
        <v>31</v>
      </c>
    </row>
    <row r="175" spans="1:13" x14ac:dyDescent="0.25">
      <c r="A175" t="s">
        <v>47</v>
      </c>
      <c r="B175">
        <v>2025009</v>
      </c>
      <c r="C175" s="7">
        <v>45411</v>
      </c>
      <c r="D175" t="s">
        <v>14</v>
      </c>
      <c r="E175" t="s">
        <v>29</v>
      </c>
      <c r="F175" t="s">
        <v>66</v>
      </c>
      <c r="G175" t="s">
        <v>23</v>
      </c>
      <c r="H175">
        <v>620</v>
      </c>
      <c r="I175">
        <v>200</v>
      </c>
      <c r="J175">
        <v>124000</v>
      </c>
      <c r="K175">
        <v>12400</v>
      </c>
      <c r="L175" s="2">
        <v>0.1</v>
      </c>
      <c r="M175" t="s">
        <v>31</v>
      </c>
    </row>
    <row r="176" spans="1:13" x14ac:dyDescent="0.25">
      <c r="A176" t="s">
        <v>50</v>
      </c>
      <c r="B176">
        <v>2025010</v>
      </c>
      <c r="C176" s="7">
        <v>45428</v>
      </c>
      <c r="D176" t="s">
        <v>14</v>
      </c>
      <c r="E176" t="s">
        <v>33</v>
      </c>
      <c r="F176" t="s">
        <v>67</v>
      </c>
      <c r="G176" t="s">
        <v>17</v>
      </c>
      <c r="H176">
        <v>510</v>
      </c>
      <c r="I176">
        <v>150</v>
      </c>
      <c r="J176">
        <v>76500</v>
      </c>
      <c r="K176">
        <v>30600</v>
      </c>
      <c r="L176" s="2">
        <v>0.4</v>
      </c>
      <c r="M176" t="s">
        <v>18</v>
      </c>
    </row>
    <row r="177" spans="1:13" x14ac:dyDescent="0.25">
      <c r="A177" t="s">
        <v>50</v>
      </c>
      <c r="B177">
        <v>2025010</v>
      </c>
      <c r="C177" s="7">
        <v>45429</v>
      </c>
      <c r="D177" t="s">
        <v>14</v>
      </c>
      <c r="E177" t="s">
        <v>33</v>
      </c>
      <c r="F177" t="s">
        <v>67</v>
      </c>
      <c r="G177" t="s">
        <v>19</v>
      </c>
      <c r="H177">
        <v>540</v>
      </c>
      <c r="I177">
        <v>140</v>
      </c>
      <c r="J177">
        <v>75600</v>
      </c>
      <c r="K177">
        <v>25727</v>
      </c>
      <c r="L177" s="2">
        <v>0.34</v>
      </c>
      <c r="M177" t="s">
        <v>18</v>
      </c>
    </row>
    <row r="178" spans="1:13" x14ac:dyDescent="0.25">
      <c r="A178" t="s">
        <v>13</v>
      </c>
      <c r="B178">
        <v>2025001</v>
      </c>
      <c r="C178" s="7">
        <v>45468</v>
      </c>
      <c r="D178" t="s">
        <v>14</v>
      </c>
      <c r="E178" t="s">
        <v>36</v>
      </c>
      <c r="F178" t="s">
        <v>68</v>
      </c>
      <c r="G178" t="s">
        <v>20</v>
      </c>
      <c r="H178">
        <v>620</v>
      </c>
      <c r="I178">
        <v>160</v>
      </c>
      <c r="J178">
        <v>99200</v>
      </c>
      <c r="K178">
        <v>34720</v>
      </c>
      <c r="L178" s="2">
        <v>0.35</v>
      </c>
      <c r="M178" t="s">
        <v>18</v>
      </c>
    </row>
    <row r="179" spans="1:13" x14ac:dyDescent="0.25">
      <c r="A179" t="s">
        <v>13</v>
      </c>
      <c r="B179">
        <v>2025001</v>
      </c>
      <c r="C179" s="7">
        <v>45469</v>
      </c>
      <c r="D179" t="s">
        <v>14</v>
      </c>
      <c r="E179" t="s">
        <v>36</v>
      </c>
      <c r="F179" t="s">
        <v>68</v>
      </c>
      <c r="G179" t="s">
        <v>21</v>
      </c>
      <c r="H179">
        <v>650</v>
      </c>
      <c r="I179">
        <v>150</v>
      </c>
      <c r="J179">
        <v>97500</v>
      </c>
      <c r="K179">
        <v>48750</v>
      </c>
      <c r="L179" s="2">
        <v>0.5</v>
      </c>
      <c r="M179" t="s">
        <v>18</v>
      </c>
    </row>
    <row r="180" spans="1:13" x14ac:dyDescent="0.25">
      <c r="A180" t="s">
        <v>24</v>
      </c>
      <c r="B180">
        <v>2025002</v>
      </c>
      <c r="C180" s="7">
        <v>45503</v>
      </c>
      <c r="D180" t="s">
        <v>14</v>
      </c>
      <c r="E180" t="s">
        <v>39</v>
      </c>
      <c r="F180" t="s">
        <v>69</v>
      </c>
      <c r="G180" t="s">
        <v>22</v>
      </c>
      <c r="H180">
        <v>470</v>
      </c>
      <c r="I180">
        <v>130</v>
      </c>
      <c r="J180">
        <v>61100</v>
      </c>
      <c r="K180">
        <v>27495</v>
      </c>
      <c r="L180" s="2">
        <v>0.45</v>
      </c>
      <c r="M180" t="s">
        <v>27</v>
      </c>
    </row>
    <row r="181" spans="1:13" x14ac:dyDescent="0.25">
      <c r="A181" t="s">
        <v>24</v>
      </c>
      <c r="B181">
        <v>2025002</v>
      </c>
      <c r="C181" s="7">
        <v>45504</v>
      </c>
      <c r="D181" t="s">
        <v>14</v>
      </c>
      <c r="E181" t="s">
        <v>39</v>
      </c>
      <c r="F181" t="s">
        <v>69</v>
      </c>
      <c r="G181" t="s">
        <v>23</v>
      </c>
      <c r="H181">
        <v>500</v>
      </c>
      <c r="I181">
        <v>120</v>
      </c>
      <c r="J181">
        <v>60000</v>
      </c>
      <c r="K181">
        <v>42000</v>
      </c>
      <c r="L181" s="2">
        <v>0.7</v>
      </c>
      <c r="M181" t="s">
        <v>27</v>
      </c>
    </row>
    <row r="182" spans="1:13" x14ac:dyDescent="0.25">
      <c r="A182" t="s">
        <v>28</v>
      </c>
      <c r="B182">
        <v>2025003</v>
      </c>
      <c r="C182" s="7">
        <v>45532</v>
      </c>
      <c r="D182" t="s">
        <v>14</v>
      </c>
      <c r="E182" t="s">
        <v>42</v>
      </c>
      <c r="F182" t="s">
        <v>70</v>
      </c>
      <c r="G182" t="s">
        <v>20</v>
      </c>
      <c r="H182">
        <v>1080</v>
      </c>
      <c r="I182">
        <v>100</v>
      </c>
      <c r="J182">
        <v>108000</v>
      </c>
      <c r="K182">
        <v>48600</v>
      </c>
      <c r="L182" s="2">
        <v>0.45</v>
      </c>
      <c r="M182" t="s">
        <v>31</v>
      </c>
    </row>
    <row r="183" spans="1:13" x14ac:dyDescent="0.25">
      <c r="A183" t="s">
        <v>28</v>
      </c>
      <c r="B183">
        <v>2025003</v>
      </c>
      <c r="C183" s="7">
        <v>45533</v>
      </c>
      <c r="D183" t="s">
        <v>14</v>
      </c>
      <c r="E183" t="s">
        <v>42</v>
      </c>
      <c r="F183" t="s">
        <v>70</v>
      </c>
      <c r="G183" t="s">
        <v>21</v>
      </c>
      <c r="H183">
        <v>1120</v>
      </c>
      <c r="I183">
        <v>95</v>
      </c>
      <c r="J183">
        <v>106400</v>
      </c>
      <c r="K183">
        <v>54264</v>
      </c>
      <c r="L183" s="2">
        <v>0.51</v>
      </c>
      <c r="M183" t="s">
        <v>31</v>
      </c>
    </row>
    <row r="184" spans="1:13" x14ac:dyDescent="0.25">
      <c r="A184" t="s">
        <v>32</v>
      </c>
      <c r="B184">
        <v>2025004</v>
      </c>
      <c r="C184" s="7">
        <v>45557</v>
      </c>
      <c r="D184" t="s">
        <v>14</v>
      </c>
      <c r="E184" t="s">
        <v>45</v>
      </c>
      <c r="F184" t="s">
        <v>71</v>
      </c>
      <c r="G184" t="s">
        <v>17</v>
      </c>
      <c r="H184">
        <v>390</v>
      </c>
      <c r="I184">
        <v>110</v>
      </c>
      <c r="J184">
        <v>42900</v>
      </c>
      <c r="K184">
        <v>21450</v>
      </c>
      <c r="L184" s="2">
        <v>0.5</v>
      </c>
      <c r="M184" t="s">
        <v>27</v>
      </c>
    </row>
    <row r="185" spans="1:13" x14ac:dyDescent="0.25">
      <c r="A185" t="s">
        <v>32</v>
      </c>
      <c r="B185">
        <v>2025004</v>
      </c>
      <c r="C185" s="7">
        <v>45558</v>
      </c>
      <c r="D185" t="s">
        <v>14</v>
      </c>
      <c r="E185" t="s">
        <v>45</v>
      </c>
      <c r="F185" t="s">
        <v>71</v>
      </c>
      <c r="G185" t="s">
        <v>19</v>
      </c>
      <c r="H185">
        <v>420</v>
      </c>
      <c r="I185">
        <v>100</v>
      </c>
      <c r="J185">
        <v>42000</v>
      </c>
      <c r="K185">
        <v>16800</v>
      </c>
      <c r="L185" s="2">
        <v>0.4</v>
      </c>
      <c r="M185" t="s">
        <v>27</v>
      </c>
    </row>
    <row r="186" spans="1:13" x14ac:dyDescent="0.25">
      <c r="A186" t="s">
        <v>35</v>
      </c>
      <c r="B186">
        <v>2025005</v>
      </c>
      <c r="C186" s="7">
        <v>45587</v>
      </c>
      <c r="D186" t="s">
        <v>14</v>
      </c>
      <c r="E186" t="s">
        <v>48</v>
      </c>
      <c r="F186" t="s">
        <v>72</v>
      </c>
      <c r="G186" t="s">
        <v>20</v>
      </c>
      <c r="H186">
        <v>480</v>
      </c>
      <c r="I186">
        <v>85</v>
      </c>
      <c r="J186">
        <v>40800</v>
      </c>
      <c r="K186">
        <v>13872</v>
      </c>
      <c r="L186" s="2">
        <v>0.34</v>
      </c>
      <c r="M186" t="s">
        <v>18</v>
      </c>
    </row>
    <row r="187" spans="1:13" x14ac:dyDescent="0.25">
      <c r="A187" t="s">
        <v>35</v>
      </c>
      <c r="B187">
        <v>2025005</v>
      </c>
      <c r="C187" s="7">
        <v>45588</v>
      </c>
      <c r="D187" t="s">
        <v>14</v>
      </c>
      <c r="E187" t="s">
        <v>48</v>
      </c>
      <c r="F187" t="s">
        <v>72</v>
      </c>
      <c r="G187" t="s">
        <v>21</v>
      </c>
      <c r="H187">
        <v>510</v>
      </c>
      <c r="I187">
        <v>80</v>
      </c>
      <c r="J187">
        <v>40800</v>
      </c>
      <c r="K187">
        <v>22032</v>
      </c>
      <c r="L187" s="2">
        <v>0.54</v>
      </c>
      <c r="M187" t="s">
        <v>18</v>
      </c>
    </row>
    <row r="188" spans="1:13" x14ac:dyDescent="0.25">
      <c r="A188" t="s">
        <v>38</v>
      </c>
      <c r="B188">
        <v>2025006</v>
      </c>
      <c r="C188" s="7">
        <v>45608</v>
      </c>
      <c r="D188" t="s">
        <v>14</v>
      </c>
      <c r="E188" t="s">
        <v>15</v>
      </c>
      <c r="F188" t="s">
        <v>73</v>
      </c>
      <c r="G188" t="s">
        <v>22</v>
      </c>
      <c r="H188">
        <v>980</v>
      </c>
      <c r="I188">
        <v>230</v>
      </c>
      <c r="J188">
        <v>225400</v>
      </c>
      <c r="K188">
        <v>135240</v>
      </c>
      <c r="L188" s="2">
        <v>0.6</v>
      </c>
      <c r="M188" t="s">
        <v>31</v>
      </c>
    </row>
    <row r="189" spans="1:13" x14ac:dyDescent="0.25">
      <c r="A189" t="s">
        <v>38</v>
      </c>
      <c r="B189">
        <v>2025006</v>
      </c>
      <c r="C189" s="7">
        <v>45609</v>
      </c>
      <c r="D189" t="s">
        <v>14</v>
      </c>
      <c r="E189" t="s">
        <v>15</v>
      </c>
      <c r="F189" t="s">
        <v>73</v>
      </c>
      <c r="G189" t="s">
        <v>23</v>
      </c>
      <c r="H189">
        <v>1020</v>
      </c>
      <c r="I189">
        <v>250</v>
      </c>
      <c r="J189">
        <v>255000</v>
      </c>
      <c r="K189">
        <v>178500</v>
      </c>
      <c r="L189" s="2">
        <v>0.7</v>
      </c>
      <c r="M189" t="s">
        <v>31</v>
      </c>
    </row>
    <row r="190" spans="1:13" x14ac:dyDescent="0.25">
      <c r="A190" t="s">
        <v>41</v>
      </c>
      <c r="B190">
        <v>2025007</v>
      </c>
      <c r="C190" s="7">
        <v>45567</v>
      </c>
      <c r="D190" t="s">
        <v>14</v>
      </c>
      <c r="E190" t="s">
        <v>25</v>
      </c>
      <c r="F190" t="s">
        <v>74</v>
      </c>
      <c r="G190" t="s">
        <v>17</v>
      </c>
      <c r="H190">
        <v>710</v>
      </c>
      <c r="I190">
        <v>170</v>
      </c>
      <c r="J190">
        <v>120700</v>
      </c>
      <c r="K190">
        <v>48280</v>
      </c>
      <c r="L190" s="2">
        <v>0.4</v>
      </c>
      <c r="M190" t="s">
        <v>18</v>
      </c>
    </row>
    <row r="191" spans="1:13" x14ac:dyDescent="0.25">
      <c r="A191" t="s">
        <v>41</v>
      </c>
      <c r="B191">
        <v>2025007</v>
      </c>
      <c r="C191" s="7">
        <v>45568</v>
      </c>
      <c r="D191" t="s">
        <v>14</v>
      </c>
      <c r="E191" t="s">
        <v>25</v>
      </c>
      <c r="F191" t="s">
        <v>74</v>
      </c>
      <c r="G191" t="s">
        <v>19</v>
      </c>
      <c r="H191">
        <v>750</v>
      </c>
      <c r="I191">
        <v>160</v>
      </c>
      <c r="J191">
        <v>120000</v>
      </c>
      <c r="K191">
        <v>36000</v>
      </c>
      <c r="L191" s="2">
        <v>0.3</v>
      </c>
      <c r="M191" t="s">
        <v>18</v>
      </c>
    </row>
    <row r="192" spans="1:13" x14ac:dyDescent="0.25">
      <c r="A192" t="s">
        <v>44</v>
      </c>
      <c r="B192">
        <v>2025008</v>
      </c>
      <c r="C192" s="7">
        <v>45606</v>
      </c>
      <c r="D192" t="s">
        <v>14</v>
      </c>
      <c r="E192" t="s">
        <v>29</v>
      </c>
      <c r="F192" t="s">
        <v>75</v>
      </c>
      <c r="G192" t="s">
        <v>20</v>
      </c>
      <c r="H192">
        <v>320</v>
      </c>
      <c r="I192">
        <v>95</v>
      </c>
      <c r="J192">
        <v>30400</v>
      </c>
      <c r="K192">
        <v>16720</v>
      </c>
      <c r="L192" s="2">
        <v>0.55000000000000004</v>
      </c>
      <c r="M192" t="s">
        <v>27</v>
      </c>
    </row>
    <row r="193" spans="1:13" x14ac:dyDescent="0.25">
      <c r="A193" t="s">
        <v>44</v>
      </c>
      <c r="B193">
        <v>2025008</v>
      </c>
      <c r="C193" s="7">
        <v>45607</v>
      </c>
      <c r="D193" t="s">
        <v>14</v>
      </c>
      <c r="E193" t="s">
        <v>29</v>
      </c>
      <c r="F193" t="s">
        <v>75</v>
      </c>
      <c r="G193" t="s">
        <v>21</v>
      </c>
      <c r="H193">
        <v>340</v>
      </c>
      <c r="I193">
        <v>90</v>
      </c>
      <c r="J193">
        <v>30600</v>
      </c>
      <c r="K193">
        <v>18360</v>
      </c>
      <c r="L193" s="2">
        <v>0.6</v>
      </c>
      <c r="M193" t="s">
        <v>27</v>
      </c>
    </row>
    <row r="194" spans="1:13" x14ac:dyDescent="0.25">
      <c r="A194" t="s">
        <v>47</v>
      </c>
      <c r="B194">
        <v>2025009</v>
      </c>
      <c r="C194" s="7">
        <v>45553</v>
      </c>
      <c r="D194" t="s">
        <v>14</v>
      </c>
      <c r="E194" t="s">
        <v>36</v>
      </c>
      <c r="F194" t="s">
        <v>76</v>
      </c>
      <c r="G194" t="s">
        <v>22</v>
      </c>
      <c r="H194">
        <v>520</v>
      </c>
      <c r="I194">
        <v>120</v>
      </c>
      <c r="J194">
        <v>62400</v>
      </c>
      <c r="K194">
        <v>12480</v>
      </c>
      <c r="L194" s="2">
        <v>0.2</v>
      </c>
      <c r="M194" t="s">
        <v>31</v>
      </c>
    </row>
    <row r="195" spans="1:13" x14ac:dyDescent="0.25">
      <c r="A195" t="s">
        <v>47</v>
      </c>
      <c r="B195">
        <v>2025009</v>
      </c>
      <c r="C195" s="7">
        <v>45554</v>
      </c>
      <c r="D195" t="s">
        <v>14</v>
      </c>
      <c r="E195" t="s">
        <v>36</v>
      </c>
      <c r="F195" t="s">
        <v>76</v>
      </c>
      <c r="G195" t="s">
        <v>23</v>
      </c>
      <c r="H195">
        <v>540</v>
      </c>
      <c r="I195">
        <v>130</v>
      </c>
      <c r="J195">
        <v>70200</v>
      </c>
      <c r="K195">
        <v>5616</v>
      </c>
      <c r="L195" s="2">
        <v>0.08</v>
      </c>
      <c r="M195" t="s">
        <v>31</v>
      </c>
    </row>
    <row r="196" spans="1:13" x14ac:dyDescent="0.25">
      <c r="A196" t="s">
        <v>50</v>
      </c>
      <c r="B196">
        <v>2025010</v>
      </c>
      <c r="C196" s="7">
        <v>45595</v>
      </c>
      <c r="D196" t="s">
        <v>14</v>
      </c>
      <c r="E196" t="s">
        <v>39</v>
      </c>
      <c r="F196" t="s">
        <v>77</v>
      </c>
      <c r="G196" t="s">
        <v>20</v>
      </c>
      <c r="H196">
        <v>440</v>
      </c>
      <c r="I196">
        <v>95</v>
      </c>
      <c r="J196">
        <v>41800</v>
      </c>
      <c r="K196">
        <v>16720</v>
      </c>
      <c r="L196" s="2">
        <v>0.4</v>
      </c>
      <c r="M196" t="s">
        <v>18</v>
      </c>
    </row>
    <row r="197" spans="1:13" x14ac:dyDescent="0.25">
      <c r="A197" t="s">
        <v>50</v>
      </c>
      <c r="B197">
        <v>2025010</v>
      </c>
      <c r="C197" s="7">
        <v>45596</v>
      </c>
      <c r="D197" t="s">
        <v>14</v>
      </c>
      <c r="E197" t="s">
        <v>39</v>
      </c>
      <c r="F197" t="s">
        <v>77</v>
      </c>
      <c r="G197" t="s">
        <v>21</v>
      </c>
      <c r="H197">
        <v>460</v>
      </c>
      <c r="I197">
        <v>90</v>
      </c>
      <c r="J197">
        <v>41400</v>
      </c>
      <c r="K197">
        <v>20700</v>
      </c>
      <c r="L197" s="2">
        <v>0.5</v>
      </c>
      <c r="M197" t="s">
        <v>18</v>
      </c>
    </row>
    <row r="198" spans="1:13" x14ac:dyDescent="0.25">
      <c r="A198" t="s">
        <v>13</v>
      </c>
      <c r="B198">
        <v>2025001</v>
      </c>
      <c r="C198" s="7">
        <v>45601</v>
      </c>
      <c r="D198" t="s">
        <v>14</v>
      </c>
      <c r="E198" t="s">
        <v>42</v>
      </c>
      <c r="F198" t="s">
        <v>78</v>
      </c>
      <c r="G198" t="s">
        <v>17</v>
      </c>
      <c r="H198">
        <v>750</v>
      </c>
      <c r="I198">
        <v>200</v>
      </c>
      <c r="J198">
        <v>150000</v>
      </c>
      <c r="K198">
        <v>75000</v>
      </c>
      <c r="L198" s="2">
        <v>0.5</v>
      </c>
      <c r="M198" t="s">
        <v>18</v>
      </c>
    </row>
    <row r="199" spans="1:13" x14ac:dyDescent="0.25">
      <c r="A199" t="s">
        <v>13</v>
      </c>
      <c r="B199">
        <v>2025001</v>
      </c>
      <c r="C199" s="7">
        <v>45602</v>
      </c>
      <c r="D199" t="s">
        <v>14</v>
      </c>
      <c r="E199" t="s">
        <v>42</v>
      </c>
      <c r="F199" t="s">
        <v>78</v>
      </c>
      <c r="G199" t="s">
        <v>19</v>
      </c>
      <c r="H199">
        <v>790</v>
      </c>
      <c r="I199">
        <v>180</v>
      </c>
      <c r="J199">
        <v>142200</v>
      </c>
      <c r="K199">
        <v>38394</v>
      </c>
      <c r="L199" s="2">
        <v>0.27</v>
      </c>
      <c r="M199" t="s">
        <v>18</v>
      </c>
    </row>
    <row r="200" spans="1:13" x14ac:dyDescent="0.25">
      <c r="A200" t="s">
        <v>24</v>
      </c>
      <c r="B200">
        <v>2025002</v>
      </c>
      <c r="C200" s="7">
        <v>45514</v>
      </c>
      <c r="D200" t="s">
        <v>14</v>
      </c>
      <c r="E200" t="s">
        <v>45</v>
      </c>
      <c r="F200" t="s">
        <v>79</v>
      </c>
      <c r="G200" t="s">
        <v>20</v>
      </c>
      <c r="H200">
        <v>440</v>
      </c>
      <c r="I200">
        <v>180</v>
      </c>
      <c r="J200">
        <v>79200</v>
      </c>
      <c r="K200">
        <v>39600</v>
      </c>
      <c r="L200" s="2">
        <v>0.5</v>
      </c>
      <c r="M200" t="s">
        <v>27</v>
      </c>
    </row>
    <row r="201" spans="1:13" x14ac:dyDescent="0.25">
      <c r="A201" t="s">
        <v>24</v>
      </c>
      <c r="B201">
        <v>2025002</v>
      </c>
      <c r="C201" s="7">
        <v>45515</v>
      </c>
      <c r="D201" t="s">
        <v>14</v>
      </c>
      <c r="E201" t="s">
        <v>45</v>
      </c>
      <c r="F201" t="s">
        <v>79</v>
      </c>
      <c r="G201" t="s">
        <v>21</v>
      </c>
      <c r="H201">
        <v>470</v>
      </c>
      <c r="I201">
        <v>170</v>
      </c>
      <c r="J201">
        <v>79900</v>
      </c>
      <c r="K201">
        <v>49538</v>
      </c>
      <c r="L201" s="2">
        <v>0.62</v>
      </c>
      <c r="M201"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3"/>
  <sheetViews>
    <sheetView tabSelected="1" topLeftCell="A36" workbookViewId="0">
      <selection activeCell="N52" sqref="N52"/>
    </sheetView>
  </sheetViews>
  <sheetFormatPr defaultRowHeight="15" x14ac:dyDescent="0.25"/>
  <cols>
    <col min="1" max="1" width="13.140625" customWidth="1"/>
    <col min="2" max="2" width="20.28515625" bestFit="1" customWidth="1"/>
    <col min="4" max="4" width="14.140625" bestFit="1" customWidth="1"/>
    <col min="5" max="5" width="15.42578125" bestFit="1" customWidth="1"/>
  </cols>
  <sheetData>
    <row r="3" spans="1:2" x14ac:dyDescent="0.25">
      <c r="A3" s="5" t="s">
        <v>84</v>
      </c>
      <c r="B3" t="s">
        <v>83</v>
      </c>
    </row>
    <row r="4" spans="1:2" x14ac:dyDescent="0.25">
      <c r="A4" s="6" t="s">
        <v>86</v>
      </c>
      <c r="B4" s="8">
        <v>3884850</v>
      </c>
    </row>
    <row r="5" spans="1:2" x14ac:dyDescent="0.25">
      <c r="A5" s="6" t="s">
        <v>87</v>
      </c>
      <c r="B5" s="8">
        <v>5064700</v>
      </c>
    </row>
    <row r="6" spans="1:2" x14ac:dyDescent="0.25">
      <c r="A6" s="6" t="s">
        <v>88</v>
      </c>
      <c r="B6" s="8">
        <v>4781900</v>
      </c>
    </row>
    <row r="7" spans="1:2" x14ac:dyDescent="0.25">
      <c r="A7" s="6" t="s">
        <v>89</v>
      </c>
      <c r="B7" s="8">
        <v>1590700</v>
      </c>
    </row>
    <row r="8" spans="1:2" x14ac:dyDescent="0.25">
      <c r="A8" s="6" t="s">
        <v>90</v>
      </c>
      <c r="B8" s="8">
        <v>1458400</v>
      </c>
    </row>
    <row r="9" spans="1:2" x14ac:dyDescent="0.25">
      <c r="A9" s="6" t="s">
        <v>91</v>
      </c>
      <c r="B9" s="8">
        <v>2064200</v>
      </c>
    </row>
    <row r="10" spans="1:2" x14ac:dyDescent="0.25">
      <c r="A10" s="6" t="s">
        <v>92</v>
      </c>
      <c r="B10" s="8">
        <v>4515900</v>
      </c>
    </row>
    <row r="11" spans="1:2" x14ac:dyDescent="0.25">
      <c r="A11" s="6" t="s">
        <v>93</v>
      </c>
      <c r="B11" s="8">
        <v>6333450</v>
      </c>
    </row>
    <row r="12" spans="1:2" x14ac:dyDescent="0.25">
      <c r="A12" s="6" t="s">
        <v>94</v>
      </c>
      <c r="B12" s="8">
        <v>4883200</v>
      </c>
    </row>
    <row r="13" spans="1:2" x14ac:dyDescent="0.25">
      <c r="A13" s="6" t="s">
        <v>95</v>
      </c>
      <c r="B13" s="8">
        <v>5465300</v>
      </c>
    </row>
    <row r="14" spans="1:2" x14ac:dyDescent="0.25">
      <c r="A14" s="6" t="s">
        <v>96</v>
      </c>
      <c r="B14" s="8">
        <v>3899900</v>
      </c>
    </row>
    <row r="15" spans="1:2" x14ac:dyDescent="0.25">
      <c r="A15" s="6" t="s">
        <v>85</v>
      </c>
      <c r="B15" s="8">
        <v>43942500</v>
      </c>
    </row>
    <row r="22" spans="1:5" x14ac:dyDescent="0.25">
      <c r="A22" s="5" t="s">
        <v>84</v>
      </c>
      <c r="B22" t="s">
        <v>83</v>
      </c>
      <c r="D22" s="3" t="s">
        <v>97</v>
      </c>
      <c r="E22" s="3" t="s">
        <v>98</v>
      </c>
    </row>
    <row r="23" spans="1:5" x14ac:dyDescent="0.25">
      <c r="A23" s="6" t="s">
        <v>33</v>
      </c>
      <c r="B23" s="8">
        <v>2999800</v>
      </c>
      <c r="D23" s="6" t="s">
        <v>33</v>
      </c>
      <c r="E23" s="4">
        <v>2999800</v>
      </c>
    </row>
    <row r="24" spans="1:5" x14ac:dyDescent="0.25">
      <c r="A24" s="6" t="s">
        <v>36</v>
      </c>
      <c r="B24" s="8">
        <v>2688200</v>
      </c>
      <c r="D24" s="6" t="s">
        <v>36</v>
      </c>
      <c r="E24" s="4">
        <v>2688200</v>
      </c>
    </row>
    <row r="25" spans="1:5" x14ac:dyDescent="0.25">
      <c r="A25" s="6" t="s">
        <v>15</v>
      </c>
      <c r="B25" s="8">
        <v>9075500</v>
      </c>
      <c r="D25" s="6" t="s">
        <v>15</v>
      </c>
      <c r="E25" s="4">
        <v>9075500</v>
      </c>
    </row>
    <row r="26" spans="1:5" x14ac:dyDescent="0.25">
      <c r="A26" s="6" t="s">
        <v>29</v>
      </c>
      <c r="B26" s="8">
        <v>7113250</v>
      </c>
      <c r="D26" s="6" t="s">
        <v>29</v>
      </c>
      <c r="E26" s="4">
        <v>7113250</v>
      </c>
    </row>
    <row r="27" spans="1:5" x14ac:dyDescent="0.25">
      <c r="A27" s="6" t="s">
        <v>42</v>
      </c>
      <c r="B27" s="8">
        <v>2653900</v>
      </c>
      <c r="D27" s="6" t="s">
        <v>42</v>
      </c>
      <c r="E27" s="4">
        <v>2653900</v>
      </c>
    </row>
    <row r="28" spans="1:5" x14ac:dyDescent="0.25">
      <c r="A28" s="6" t="s">
        <v>45</v>
      </c>
      <c r="B28" s="8">
        <v>1589900</v>
      </c>
      <c r="D28" s="6" t="s">
        <v>45</v>
      </c>
      <c r="E28" s="4">
        <v>1589900</v>
      </c>
    </row>
    <row r="29" spans="1:5" x14ac:dyDescent="0.25">
      <c r="A29" s="6" t="s">
        <v>39</v>
      </c>
      <c r="B29" s="8">
        <v>3744700</v>
      </c>
      <c r="D29" s="6" t="s">
        <v>39</v>
      </c>
      <c r="E29" s="4">
        <v>3744700</v>
      </c>
    </row>
    <row r="30" spans="1:5" x14ac:dyDescent="0.25">
      <c r="A30" s="6" t="s">
        <v>48</v>
      </c>
      <c r="B30" s="8">
        <v>1094650</v>
      </c>
      <c r="D30" s="6" t="s">
        <v>48</v>
      </c>
      <c r="E30" s="4">
        <v>1094650</v>
      </c>
    </row>
    <row r="31" spans="1:5" x14ac:dyDescent="0.25">
      <c r="A31" s="6" t="s">
        <v>25</v>
      </c>
      <c r="B31" s="8">
        <v>12982600</v>
      </c>
      <c r="D31" s="6" t="s">
        <v>25</v>
      </c>
      <c r="E31" s="4">
        <v>12982600</v>
      </c>
    </row>
    <row r="32" spans="1:5" x14ac:dyDescent="0.25">
      <c r="A32" s="6" t="s">
        <v>85</v>
      </c>
      <c r="B32" s="8">
        <v>43942500</v>
      </c>
    </row>
    <row r="41" spans="1:2" x14ac:dyDescent="0.25">
      <c r="A41" s="5" t="s">
        <v>84</v>
      </c>
      <c r="B41" t="s">
        <v>83</v>
      </c>
    </row>
    <row r="42" spans="1:2" x14ac:dyDescent="0.25">
      <c r="A42" s="6" t="s">
        <v>44</v>
      </c>
      <c r="B42" s="4">
        <v>1073350</v>
      </c>
    </row>
    <row r="43" spans="1:2" x14ac:dyDescent="0.25">
      <c r="A43" s="6" t="s">
        <v>47</v>
      </c>
      <c r="B43" s="4">
        <v>1266450</v>
      </c>
    </row>
    <row r="44" spans="1:2" x14ac:dyDescent="0.25">
      <c r="A44" s="6" t="s">
        <v>35</v>
      </c>
      <c r="B44" s="4">
        <v>1882900</v>
      </c>
    </row>
    <row r="45" spans="1:2" x14ac:dyDescent="0.25">
      <c r="A45" s="6" t="s">
        <v>32</v>
      </c>
      <c r="B45" s="4">
        <v>1899400</v>
      </c>
    </row>
    <row r="46" spans="1:2" x14ac:dyDescent="0.25">
      <c r="A46" s="6" t="s">
        <v>50</v>
      </c>
      <c r="B46" s="4">
        <v>2283400</v>
      </c>
    </row>
    <row r="47" spans="1:2" x14ac:dyDescent="0.25">
      <c r="A47" s="6" t="s">
        <v>41</v>
      </c>
      <c r="B47" s="4">
        <v>2397300</v>
      </c>
    </row>
    <row r="48" spans="1:2" x14ac:dyDescent="0.25">
      <c r="A48" s="6" t="s">
        <v>38</v>
      </c>
      <c r="B48" s="4">
        <v>3855400</v>
      </c>
    </row>
    <row r="49" spans="1:2" x14ac:dyDescent="0.25">
      <c r="A49" s="6" t="s">
        <v>28</v>
      </c>
      <c r="B49" s="4">
        <v>7776500</v>
      </c>
    </row>
    <row r="50" spans="1:2" x14ac:dyDescent="0.25">
      <c r="A50" s="6" t="s">
        <v>24</v>
      </c>
      <c r="B50" s="4">
        <v>10235000</v>
      </c>
    </row>
    <row r="51" spans="1:2" x14ac:dyDescent="0.25">
      <c r="A51" s="6" t="s">
        <v>13</v>
      </c>
      <c r="B51" s="4">
        <v>11272800</v>
      </c>
    </row>
    <row r="52" spans="1:2" x14ac:dyDescent="0.25">
      <c r="A52" s="6" t="s">
        <v>85</v>
      </c>
      <c r="B52" s="4">
        <v>43942500</v>
      </c>
    </row>
    <row r="59" spans="1:2" x14ac:dyDescent="0.25">
      <c r="A59" s="5" t="s">
        <v>84</v>
      </c>
      <c r="B59" t="s">
        <v>83</v>
      </c>
    </row>
    <row r="60" spans="1:2" x14ac:dyDescent="0.25">
      <c r="A60" s="6" t="s">
        <v>31</v>
      </c>
      <c r="B60" s="4">
        <v>12898350</v>
      </c>
    </row>
    <row r="61" spans="1:2" x14ac:dyDescent="0.25">
      <c r="A61" s="6" t="s">
        <v>27</v>
      </c>
      <c r="B61" s="4">
        <v>13207750</v>
      </c>
    </row>
    <row r="62" spans="1:2" x14ac:dyDescent="0.25">
      <c r="A62" s="6" t="s">
        <v>18</v>
      </c>
      <c r="B62" s="4">
        <v>17836400</v>
      </c>
    </row>
    <row r="63" spans="1:2" x14ac:dyDescent="0.25">
      <c r="A63" s="6" t="s">
        <v>85</v>
      </c>
      <c r="B63" s="4">
        <v>43942500</v>
      </c>
    </row>
  </sheetData>
  <sortState ref="D23:E31">
    <sortCondition ref="D23"/>
  </sortState>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5"/>
  <sheetViews>
    <sheetView showGridLines="0" zoomScale="64" zoomScaleNormal="70" workbookViewId="0">
      <selection activeCell="AD13" sqref="AD13"/>
    </sheetView>
  </sheetViews>
  <sheetFormatPr defaultRowHeight="15" x14ac:dyDescent="0.25"/>
  <sheetData>
    <row r="1" spans="1:28" ht="15" customHeight="1" x14ac:dyDescent="0.25">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row>
    <row r="2" spans="1:28" ht="15" customHeight="1" x14ac:dyDescent="0.25">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row>
    <row r="3" spans="1:28" ht="15" customHeight="1" x14ac:dyDescent="0.25">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row>
    <row r="4" spans="1:28" ht="15" customHeight="1" x14ac:dyDescent="0.25">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row>
    <row r="5" spans="1:28" ht="15" customHeight="1" x14ac:dyDescent="0.2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row>
  </sheetData>
  <mergeCells count="1">
    <mergeCell ref="A1:AB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Ubuntu_Group_Sales_SA</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Kelethabo Molefe</dc:creator>
  <cp:lastModifiedBy>HP</cp:lastModifiedBy>
  <dcterms:created xsi:type="dcterms:W3CDTF">2025-11-20T20:41:03Z</dcterms:created>
  <dcterms:modified xsi:type="dcterms:W3CDTF">2025-11-20T21:55:07Z</dcterms:modified>
</cp:coreProperties>
</file>